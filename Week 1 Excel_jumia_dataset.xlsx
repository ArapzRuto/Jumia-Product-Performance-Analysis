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d11a2d3eddcc59/Desktop/LuxDev Tutorials/Cohort 8 Assignments/"/>
    </mc:Choice>
  </mc:AlternateContent>
  <xr:revisionPtr revIDLastSave="45" documentId="8_{27A32141-1DDA-4353-B795-B63E04134505}" xr6:coauthVersionLast="47" xr6:coauthVersionMax="47" xr10:uidLastSave="{CD8CF5C0-C37A-4D07-9FAA-22B74B7E9E3D}"/>
  <bookViews>
    <workbookView xWindow="-110" yWindow="-110" windowWidth="19420" windowHeight="10300" activeTab="1" xr2:uid="{93296209-5C11-4F10-9014-47D44CEBC3C0}"/>
  </bookViews>
  <sheets>
    <sheet name="Week 1 Excel_jumia_dataset" sheetId="1" r:id="rId1"/>
    <sheet name="Data Analysis" sheetId="4" r:id="rId2"/>
    <sheet name="Trend Analysis" sheetId="5" r:id="rId3"/>
    <sheet name="Production Performance" sheetId="6" r:id="rId4"/>
    <sheet name="CleanedData" sheetId="3" r:id="rId5"/>
    <sheet name="Metrics" sheetId="8" r:id="rId6"/>
    <sheet name="Dashboard" sheetId="9" r:id="rId7"/>
    <sheet name="Slicers" sheetId="11" r:id="rId8"/>
    <sheet name="Brief" sheetId="2" r:id="rId9"/>
  </sheets>
  <definedNames>
    <definedName name="ExternalData_1" localSheetId="4" hidden="1">CleanedData!$A$1:$I$109</definedName>
    <definedName name="Slicer_Discount_Gategory">#N/A</definedName>
    <definedName name="Slicer_Product">#N/A</definedName>
    <definedName name="Slicer_Rating_Gategory">#N/A</definedName>
  </definedNames>
  <calcPr calcId="191029"/>
  <pivotCaches>
    <pivotCache cacheId="1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B9" i="8"/>
  <c r="B6" i="8"/>
  <c r="B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D73F9A-C8A3-41E2-92D7-950A438723C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<sst xmlns="http://schemas.openxmlformats.org/spreadsheetml/2006/main" count="1520" uniqueCount="482">
  <si>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</si>
  <si>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</si>
  <si>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</si>
  <si>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</si>
  <si>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</si>
  <si>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</si>
  <si>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</si>
  <si>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</si>
  <si>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</si>
  <si>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</si>
  <si>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</si>
  <si>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</si>
  <si>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</si>
  <si>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</si>
  <si>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</si>
  <si>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</si>
  <si>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</si>
  <si>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</si>
  <si>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</si>
  <si>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</si>
  <si>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</si>
  <si>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</si>
  <si>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</si>
  <si>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</si>
  <si>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</si>
  <si>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</si>
  <si>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</si>
  <si>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</si>
  <si>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</si>
  <si>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</si>
  <si>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</si>
  <si>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</si>
  <si>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</si>
  <si>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</si>
  <si>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</si>
  <si>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</si>
  <si>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</si>
  <si>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</si>
  <si>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</si>
  <si>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</si>
  <si>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</si>
  <si>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</si>
  <si>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</si>
  <si>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</si>
  <si>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</si>
  <si>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</si>
  <si>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</si>
  <si>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</si>
  <si>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</si>
  <si>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</si>
  <si>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</si>
  <si>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</si>
  <si>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</si>
  <si>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</si>
  <si>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</si>
  <si>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</si>
  <si>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</si>
  <si>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</si>
  <si>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</si>
  <si>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</si>
  <si>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</si>
  <si>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</si>
  <si>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</si>
  <si>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</si>
  <si>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</si>
  <si>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</si>
  <si>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</si>
  <si>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</si>
  <si>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</si>
  <si>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</si>
  <si>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</si>
  <si>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</si>
  <si>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</si>
  <si>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</si>
  <si>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</si>
  <si>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</si>
  <si>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</si>
  <si>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</si>
  <si>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</si>
  <si>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</si>
  <si>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</si>
  <si>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</si>
  <si>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</si>
  <si>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</si>
  <si>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</si>
  <si>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</si>
  <si>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</si>
  <si>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</si>
  <si>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</si>
  <si>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</si>
  <si>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</si>
  <si>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</si>
  <si>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</si>
  <si>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</si>
  <si>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</si>
  <si>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</si>
  <si>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</si>
  <si>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</si>
  <si>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</si>
  <si>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</si>
  <si>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</si>
  <si>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</si>
  <si>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</si>
  <si>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</si>
  <si>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</si>
  <si>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</si>
  <si>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</si>
  <si>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</si>
  <si>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</si>
  <si>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</si>
  <si>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</si>
  <si>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</si>
  <si>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</si>
  <si>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</si>
  <si>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</si>
  <si>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</si>
  <si>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</si>
  <si>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</si>
  <si>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</si>
  <si>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</si>
  <si>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</si>
  <si>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</si>
  <si>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</si>
  <si>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</si>
  <si>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</si>
  <si>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</si>
  <si>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</si>
  <si>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</si>
  <si>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</si>
  <si>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</si>
  <si>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</si>
  <si>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</si>
  <si>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</si>
  <si>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</si>
  <si>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</si>
  <si>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</si>
  <si>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</si>
  <si>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</si>
  <si>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</si>
  <si>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</si>
  <si>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</si>
  <si>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</si>
  <si>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</si>
  <si>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</si>
  <si>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</si>
  <si>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</si>
  <si>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</si>
  <si>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</si>
  <si>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</si>
  <si>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</si>
  <si>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</si>
  <si>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</si>
  <si>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</si>
  <si>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</si>
  <si>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</si>
  <si>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</si>
  <si>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</si>
  <si>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</si>
  <si>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</si>
  <si>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</si>
  <si>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</si>
  <si>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</si>
  <si>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</si>
  <si>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</si>
  <si>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</si>
  <si>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</si>
  <si>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</si>
  <si>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</si>
  <si>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</si>
  <si>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</si>
  <si>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</si>
  <si>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</si>
  <si>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</si>
  <si>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</si>
  <si>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</si>
  <si>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</si>
  <si>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</si>
  <si>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</si>
  <si>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</si>
  <si>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</si>
  <si>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</si>
  <si>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</si>
  <si>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</si>
  <si>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</si>
  <si>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</si>
  <si>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</si>
  <si>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</si>
  <si>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</si>
  <si>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</si>
  <si>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</si>
  <si>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</si>
  <si>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</si>
  <si>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</si>
  <si>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</si>
  <si>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</si>
  <si>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</si>
  <si>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</si>
  <si>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</si>
  <si>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</si>
  <si>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</si>
  <si>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</si>
  <si>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</si>
  <si>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</si>
  <si>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</si>
  <si>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</si>
  <si>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</si>
  <si>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</si>
  <si>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</si>
  <si>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</si>
  <si>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</si>
  <si>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</si>
  <si>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</si>
  <si>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</si>
  <si>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</si>
  <si>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</si>
  <si>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</si>
  <si>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</si>
  <si>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</si>
  <si>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</si>
  <si>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</si>
  <si>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</si>
  <si>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</si>
  <si>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</si>
  <si>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</si>
  <si>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</si>
  <si>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</si>
  <si>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</si>
  <si>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</si>
  <si>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</si>
  <si>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</si>
  <si>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</si>
  <si>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</si>
  <si>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</si>
  <si>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</si>
  <si>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</si>
  <si>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</si>
  <si>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</si>
  <si>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</si>
  <si>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</si>
  <si>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</si>
  <si>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</si>
  <si>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</si>
  <si>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</si>
  <si>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</si>
  <si>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</si>
  <si>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</si>
  <si>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</si>
  <si>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</si>
  <si>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</si>
  <si>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</si>
  <si>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</si>
  <si>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</si>
  <si>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</si>
  <si>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</si>
  <si>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</si>
  <si>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</si>
  <si>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</si>
  <si>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</si>
  <si>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</si>
  <si>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</si>
  <si>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</si>
  <si>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</si>
  <si>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</si>
  <si>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</si>
  <si>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</si>
  <si>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</si>
  <si>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</si>
  <si>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</si>
  <si>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</si>
  <si>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</si>
  <si>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</si>
  <si>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</si>
  <si>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</si>
  <si>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</si>
  <si>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</si>
  <si>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</si>
  <si>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</si>
  <si>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</si>
  <si>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</si>
  <si>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</si>
  <si>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</si>
  <si>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</si>
  <si>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</si>
  <si>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</si>
  <si>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</si>
  <si>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</si>
  <si>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</si>
  <si>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</si>
  <si>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</si>
  <si>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</si>
  <si>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</si>
  <si>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</si>
  <si>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</si>
  <si>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</si>
  <si>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</si>
  <si>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</si>
  <si>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</si>
  <si>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</si>
  <si>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</si>
  <si>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</si>
  <si>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</si>
  <si>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</si>
  <si>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</si>
  <si>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</si>
  <si>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</si>
  <si>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</si>
  <si>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</si>
  <si>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</si>
  <si>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</si>
  <si>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</si>
  <si>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</si>
  <si>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</si>
  <si>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</si>
  <si>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</si>
  <si>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</si>
  <si>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</si>
  <si>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</si>
  <si>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</si>
  <si>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</si>
  <si>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</si>
  <si>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</si>
  <si>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</si>
  <si>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</si>
  <si>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xml:space="preserve">Data Analysis Dashboard Project: Jumia Product Analysis  </t>
  </si>
  <si>
    <t xml:space="preserve">Project Title: "Jumia Product Performance Dashboard: Analyzing Pricing, Discounts, and Customer Reviews"  </t>
  </si>
  <si>
    <t xml:space="preserve"> </t>
  </si>
  <si>
    <t xml:space="preserve">Objective:  </t>
  </si>
  <si>
    <t xml:space="preserve">The goal of this project is to create an interactive Excel dashboard that provides insights into the performance of products listed on Jumia. Students will analyze the dataset to understand the relationship between pricing, discounts, customer reviews, and ratings. The dashboard will help Jumia identify trends, popular products, and areas for improvement.  </t>
  </si>
  <si>
    <t xml:space="preserve">Dataset Overview:  </t>
  </si>
  <si>
    <t xml:space="preserve">The dataset contains the following columns:  </t>
  </si>
  <si>
    <r>
      <t>•</t>
    </r>
    <r>
      <rPr>
        <sz val="7"/>
        <color rgb="FF000000"/>
        <rFont val="Times New Roman"/>
        <family val="1"/>
      </rPr>
      <t xml:space="preserve">                 </t>
    </r>
    <r>
      <rPr>
        <b/>
        <sz val="11"/>
        <color rgb="FF000000"/>
        <rFont val="Calibri"/>
        <family val="2"/>
      </rPr>
      <t xml:space="preserve">Product: Name of the product.  </t>
    </r>
  </si>
  <si>
    <r>
      <t>•</t>
    </r>
    <r>
      <rPr>
        <sz val="7"/>
        <color rgb="FF000000"/>
        <rFont val="Times New Roman"/>
        <family val="1"/>
      </rPr>
      <t xml:space="preserve">                 </t>
    </r>
    <r>
      <rPr>
        <b/>
        <sz val="11"/>
        <color rgb="FF000000"/>
        <rFont val="Calibri"/>
        <family val="2"/>
      </rPr>
      <t xml:space="preserve">Current Price: The current selling price of the product (in KSh).  </t>
    </r>
  </si>
  <si>
    <r>
      <t>•</t>
    </r>
    <r>
      <rPr>
        <sz val="7"/>
        <color rgb="FF000000"/>
        <rFont val="Times New Roman"/>
        <family val="1"/>
      </rPr>
      <t xml:space="preserve">                 </t>
    </r>
    <r>
      <rPr>
        <b/>
        <sz val="11"/>
        <color rgb="FF000000"/>
        <rFont val="Calibri"/>
        <family val="2"/>
      </rPr>
      <t xml:space="preserve">Old Price: The original price of the product (in KSh).  </t>
    </r>
  </si>
  <si>
    <r>
      <t>•</t>
    </r>
    <r>
      <rPr>
        <sz val="7"/>
        <color rgb="FF000000"/>
        <rFont val="Times New Roman"/>
        <family val="1"/>
      </rPr>
      <t xml:space="preserve">                 </t>
    </r>
    <r>
      <rPr>
        <b/>
        <sz val="11"/>
        <color rgb="FF000000"/>
        <rFont val="Calibri"/>
        <family val="2"/>
      </rPr>
      <t xml:space="preserve">Discount: The discount percentage offered on the product.  </t>
    </r>
  </si>
  <si>
    <r>
      <t>•</t>
    </r>
    <r>
      <rPr>
        <sz val="7"/>
        <color rgb="FF000000"/>
        <rFont val="Times New Roman"/>
        <family val="1"/>
      </rPr>
      <t xml:space="preserve">                 </t>
    </r>
    <r>
      <rPr>
        <b/>
        <sz val="11"/>
        <color rgb="FF000000"/>
        <rFont val="Calibri"/>
        <family val="2"/>
      </rPr>
      <t xml:space="preserve">Review: The number of reviews for the product.  </t>
    </r>
  </si>
  <si>
    <r>
      <t>•</t>
    </r>
    <r>
      <rPr>
        <sz val="7"/>
        <color rgb="FF000000"/>
        <rFont val="Times New Roman"/>
        <family val="1"/>
      </rPr>
      <t xml:space="preserve">                 </t>
    </r>
    <r>
      <rPr>
        <b/>
        <sz val="11"/>
        <color rgb="FF000000"/>
        <rFont val="Calibri"/>
        <family val="2"/>
      </rPr>
      <t xml:space="preserve">Rating: The average customer rating of the product (out of 5).  </t>
    </r>
  </si>
  <si>
    <t xml:space="preserve">Project Tasks:  </t>
  </si>
  <si>
    <t xml:space="preserve">Students will work in groups to analyze the dataset and create an interactive Excel dashboard. The project will be divided into the following steps:  </t>
  </si>
  <si>
    <t xml:space="preserve">Step 1: Data Cleaning and Preparation  </t>
  </si>
  <si>
    <r>
      <t>1.</t>
    </r>
    <r>
      <rPr>
        <b/>
        <sz val="7"/>
        <color rgb="FF000000"/>
        <rFont val="Times New Roman"/>
        <family val="1"/>
      </rPr>
      <t xml:space="preserve">                   </t>
    </r>
    <r>
      <rPr>
        <b/>
        <sz val="11"/>
        <color rgb="FF000000"/>
        <rFont val="Calibri"/>
        <family val="2"/>
      </rPr>
      <t xml:space="preserve">Data Cleaning:  </t>
    </r>
  </si>
  <si>
    <r>
      <t>o</t>
    </r>
    <r>
      <rPr>
        <sz val="7"/>
        <color rgb="FF000000"/>
        <rFont val="Times New Roman"/>
        <family val="1"/>
      </rPr>
      <t xml:space="preserve">        </t>
    </r>
    <r>
      <rPr>
        <b/>
        <sz val="11"/>
        <color rgb="FF000000"/>
        <rFont val="Calibri"/>
        <family val="2"/>
      </rPr>
      <t xml:space="preserve">Check for missing values in the dataset (e.g., missing reviews or ratings). </t>
    </r>
    <r>
      <rPr>
        <sz val="10"/>
        <color rgb="FF000000"/>
        <rFont val="Courier New"/>
        <family val="3"/>
      </rPr>
      <t>o</t>
    </r>
    <r>
      <rPr>
        <sz val="10"/>
        <color rgb="FF000000"/>
        <rFont val="Arial"/>
        <family val="2"/>
      </rPr>
      <t xml:space="preserve">  </t>
    </r>
  </si>
  <si>
    <t xml:space="preserve">Remove duplicates if any.  </t>
  </si>
  <si>
    <r>
      <t>o</t>
    </r>
    <r>
      <rPr>
        <sz val="7"/>
        <color rgb="FF000000"/>
        <rFont val="Times New Roman"/>
        <family val="1"/>
      </rPr>
      <t xml:space="preserve">        </t>
    </r>
    <r>
      <rPr>
        <b/>
        <sz val="11"/>
        <color rgb="FF000000"/>
        <rFont val="Calibri"/>
        <family val="2"/>
      </rPr>
      <t xml:space="preserve">Ensure all price columns are in numeric format (remove "KSh" and commas).  </t>
    </r>
  </si>
  <si>
    <r>
      <t>o</t>
    </r>
    <r>
      <rPr>
        <sz val="7"/>
        <color rgb="FF000000"/>
        <rFont val="Times New Roman"/>
        <family val="1"/>
      </rPr>
      <t xml:space="preserve">        </t>
    </r>
    <r>
      <rPr>
        <b/>
        <sz val="11"/>
        <color rgb="FF000000"/>
        <rFont val="Calibri"/>
        <family val="2"/>
      </rPr>
      <t xml:space="preserve">Standardize the rating column to a numeric format (e.g., convert "4.5 out of 5" to  </t>
    </r>
  </si>
  <si>
    <t xml:space="preserve">4.5).  </t>
  </si>
  <si>
    <r>
      <t>2.</t>
    </r>
    <r>
      <rPr>
        <b/>
        <sz val="7"/>
        <color rgb="FF000000"/>
        <rFont val="Times New Roman"/>
        <family val="1"/>
      </rPr>
      <t xml:space="preserve">                   </t>
    </r>
    <r>
      <rPr>
        <b/>
        <sz val="11"/>
        <color rgb="FF000000"/>
        <rFont val="Calibri"/>
        <family val="2"/>
      </rPr>
      <t xml:space="preserve">Data Enrichment:  </t>
    </r>
  </si>
  <si>
    <r>
      <t>o</t>
    </r>
    <r>
      <rPr>
        <sz val="7"/>
        <color rgb="FF000000"/>
        <rFont val="Times New Roman"/>
        <family val="1"/>
      </rPr>
      <t xml:space="preserve">        </t>
    </r>
    <r>
      <rPr>
        <b/>
        <sz val="11"/>
        <color rgb="FF000000"/>
        <rFont val="Calibri"/>
        <family val="2"/>
      </rPr>
      <t>Calculate the absolute discount amount for each product (Old Price - Current</t>
    </r>
  </si>
  <si>
    <t xml:space="preserve">Price).  </t>
  </si>
  <si>
    <r>
      <t>o</t>
    </r>
    <r>
      <rPr>
        <sz val="7"/>
        <color rgb="FF000000"/>
        <rFont val="Times New Roman"/>
        <family val="1"/>
      </rPr>
      <t xml:space="preserve">        </t>
    </r>
    <r>
      <rPr>
        <b/>
        <sz val="11"/>
        <color rgb="FF000000"/>
        <rFont val="Calibri"/>
        <family val="2"/>
      </rPr>
      <t xml:space="preserve">Create a new column to categorize products based on their rating (e.g., "Poor" for ratings below 3, "Average" for 3-4, and "Excellent" for 4.5 and above).  </t>
    </r>
  </si>
  <si>
    <r>
      <t>o</t>
    </r>
    <r>
      <rPr>
        <sz val="7"/>
        <color rgb="FF000000"/>
        <rFont val="Times New Roman"/>
        <family val="1"/>
      </rPr>
      <t xml:space="preserve">        </t>
    </r>
    <r>
      <rPr>
        <b/>
        <sz val="11"/>
        <color rgb="FF000000"/>
        <rFont val="Calibri"/>
        <family val="2"/>
      </rPr>
      <t xml:space="preserve">Create a new column to categorize products based on discount percentage (e.g.,  "Low Discount" for &lt;20%, "Medium Discount" for 20-40%, "High Discount" for &gt;40%).  </t>
    </r>
  </si>
  <si>
    <t xml:space="preserve">Step 2: Data Analysis  </t>
  </si>
  <si>
    <r>
      <t>1.</t>
    </r>
    <r>
      <rPr>
        <b/>
        <sz val="7"/>
        <color rgb="FF000000"/>
        <rFont val="Times New Roman"/>
        <family val="1"/>
      </rPr>
      <t xml:space="preserve">                   </t>
    </r>
    <r>
      <rPr>
        <b/>
        <sz val="11"/>
        <color rgb="FF000000"/>
        <rFont val="Calibri"/>
        <family val="2"/>
      </rPr>
      <t xml:space="preserve">Descriptive Statistics:  </t>
    </r>
  </si>
  <si>
    <r>
      <t>o</t>
    </r>
    <r>
      <rPr>
        <sz val="7"/>
        <color rgb="FF000000"/>
        <rFont val="Times New Roman"/>
        <family val="1"/>
      </rPr>
      <t xml:space="preserve">        </t>
    </r>
    <r>
      <rPr>
        <b/>
        <sz val="11"/>
        <color rgb="FF000000"/>
        <rFont val="Calibri"/>
        <family val="2"/>
      </rPr>
      <t xml:space="preserve">Calculate the average current price, old price, discount percentage, and rating across all products.  </t>
    </r>
  </si>
  <si>
    <r>
      <t>o</t>
    </r>
    <r>
      <rPr>
        <sz val="7"/>
        <color rgb="FF000000"/>
        <rFont val="Times New Roman"/>
        <family val="1"/>
      </rPr>
      <t xml:space="preserve">        </t>
    </r>
    <r>
      <rPr>
        <b/>
        <sz val="11"/>
        <color rgb="FF000000"/>
        <rFont val="Calibri"/>
        <family val="2"/>
      </rPr>
      <t xml:space="preserve">Identify the most expensive and least expensive products.  </t>
    </r>
  </si>
  <si>
    <r>
      <t>o</t>
    </r>
    <r>
      <rPr>
        <sz val="7"/>
        <color rgb="FF000000"/>
        <rFont val="Times New Roman"/>
        <family val="1"/>
      </rPr>
      <t xml:space="preserve">        </t>
    </r>
    <r>
      <rPr>
        <b/>
        <sz val="11"/>
        <color rgb="FF000000"/>
        <rFont val="Calibri"/>
        <family val="2"/>
      </rPr>
      <t xml:space="preserve">Determine the average discount percentage and rating for each product category.  </t>
    </r>
  </si>
  <si>
    <r>
      <t>2.</t>
    </r>
    <r>
      <rPr>
        <b/>
        <sz val="7"/>
        <color rgb="FF000000"/>
        <rFont val="Times New Roman"/>
        <family val="1"/>
      </rPr>
      <t xml:space="preserve">                   </t>
    </r>
    <r>
      <rPr>
        <b/>
        <sz val="11"/>
        <color rgb="FF000000"/>
        <rFont val="Calibri"/>
        <family val="2"/>
      </rPr>
      <t xml:space="preserve">Trend Analysis:  </t>
    </r>
  </si>
  <si>
    <r>
      <t>o</t>
    </r>
    <r>
      <rPr>
        <sz val="7"/>
        <color rgb="FF000000"/>
        <rFont val="Times New Roman"/>
        <family val="1"/>
      </rPr>
      <t xml:space="preserve">        </t>
    </r>
    <r>
      <rPr>
        <b/>
        <sz val="11"/>
        <color rgb="FF000000"/>
        <rFont val="Calibri"/>
        <family val="2"/>
      </rPr>
      <t xml:space="preserve">Analyze the relationship between discount percentage and number of reviews. Do higher discounts lead to more reviews?  </t>
    </r>
  </si>
  <si>
    <r>
      <t>o</t>
    </r>
    <r>
      <rPr>
        <sz val="7"/>
        <color rgb="FF000000"/>
        <rFont val="Times New Roman"/>
        <family val="1"/>
      </rPr>
      <t xml:space="preserve">        </t>
    </r>
    <r>
      <rPr>
        <b/>
        <sz val="11"/>
        <color rgb="FF000000"/>
        <rFont val="Calibri"/>
        <family val="2"/>
      </rPr>
      <t xml:space="preserve">Analyze the relationship between rating and number of reviews. Do higher-rated products have more reviews?  </t>
    </r>
  </si>
  <si>
    <r>
      <t>o</t>
    </r>
    <r>
      <rPr>
        <sz val="7"/>
        <color rgb="FF000000"/>
        <rFont val="Times New Roman"/>
        <family val="1"/>
      </rPr>
      <t xml:space="preserve">        </t>
    </r>
    <r>
      <rPr>
        <b/>
        <sz val="11"/>
        <color rgb="FF000000"/>
        <rFont val="Calibri"/>
        <family val="2"/>
      </rPr>
      <t xml:space="preserve">Identify the top 5 products with the highest ratings and the top 5 products with the lowest ratings.  </t>
    </r>
  </si>
  <si>
    <r>
      <t>3.</t>
    </r>
    <r>
      <rPr>
        <b/>
        <sz val="7"/>
        <color rgb="FF000000"/>
        <rFont val="Times New Roman"/>
        <family val="1"/>
      </rPr>
      <t xml:space="preserve">                   </t>
    </r>
    <r>
      <rPr>
        <b/>
        <sz val="11"/>
        <color rgb="FF000000"/>
        <rFont val="Calibri"/>
        <family val="2"/>
      </rPr>
      <t xml:space="preserve">Product Performance:  </t>
    </r>
  </si>
  <si>
    <r>
      <t>o</t>
    </r>
    <r>
      <rPr>
        <sz val="7"/>
        <color rgb="FF000000"/>
        <rFont val="Times New Roman"/>
        <family val="1"/>
      </rPr>
      <t xml:space="preserve">        </t>
    </r>
    <r>
      <rPr>
        <b/>
        <sz val="11"/>
        <color rgb="FF000000"/>
        <rFont val="Calibri"/>
        <family val="2"/>
      </rPr>
      <t xml:space="preserve">Identify the top 10 products with the highest discounts. </t>
    </r>
    <r>
      <rPr>
        <sz val="10"/>
        <color rgb="FF000000"/>
        <rFont val="Courier New"/>
        <family val="3"/>
      </rPr>
      <t>o</t>
    </r>
    <r>
      <rPr>
        <sz val="10"/>
        <color rgb="FF000000"/>
        <rFont val="Arial"/>
        <family val="2"/>
      </rPr>
      <t xml:space="preserve">  </t>
    </r>
  </si>
  <si>
    <t xml:space="preserve">Identify the top 10 products with the most reviews.  </t>
  </si>
  <si>
    <r>
      <t>o</t>
    </r>
    <r>
      <rPr>
        <sz val="7"/>
        <color rgb="FF000000"/>
        <rFont val="Times New Roman"/>
        <family val="1"/>
      </rPr>
      <t xml:space="preserve">        </t>
    </r>
    <r>
      <rPr>
        <b/>
        <sz val="11"/>
        <color rgb="FF000000"/>
        <rFont val="Calibri"/>
        <family val="2"/>
      </rPr>
      <t>Compare the performance of products with high discounts versus low discounts (e.g., average rating, number of reviews).</t>
    </r>
  </si>
  <si>
    <t xml:space="preserve">  </t>
  </si>
  <si>
    <t xml:space="preserve">Step 3: Dashboard Design  </t>
  </si>
  <si>
    <r>
      <t>1.</t>
    </r>
    <r>
      <rPr>
        <b/>
        <sz val="7"/>
        <color rgb="FF000000"/>
        <rFont val="Times New Roman"/>
        <family val="1"/>
      </rPr>
      <t xml:space="preserve">                   </t>
    </r>
    <r>
      <rPr>
        <b/>
        <sz val="11"/>
        <color rgb="FF000000"/>
        <rFont val="Calibri"/>
        <family val="2"/>
      </rPr>
      <t xml:space="preserve">Dashboard Layout:  </t>
    </r>
  </si>
  <si>
    <r>
      <t>o</t>
    </r>
    <r>
      <rPr>
        <sz val="7"/>
        <color rgb="FF000000"/>
        <rFont val="Times New Roman"/>
        <family val="1"/>
      </rPr>
      <t xml:space="preserve">        </t>
    </r>
    <r>
      <rPr>
        <b/>
        <sz val="11"/>
        <color rgb="FF000000"/>
        <rFont val="Calibri"/>
        <family val="2"/>
      </rPr>
      <t xml:space="preserve">Create a visually appealing and interactive dashboard in Excel. </t>
    </r>
    <r>
      <rPr>
        <sz val="10"/>
        <color rgb="FF000000"/>
        <rFont val="Courier New"/>
        <family val="3"/>
      </rPr>
      <t>o</t>
    </r>
    <r>
      <rPr>
        <sz val="10"/>
        <color rgb="FF000000"/>
        <rFont val="Arial"/>
        <family val="2"/>
      </rPr>
      <t xml:space="preserve">  </t>
    </r>
  </si>
  <si>
    <t>Use Pivot</t>
  </si>
  <si>
    <t xml:space="preserve">Tables, Charts, and Slicers to make the dashboard interactive.  </t>
  </si>
  <si>
    <r>
      <t>o</t>
    </r>
    <r>
      <rPr>
        <sz val="7"/>
        <color rgb="FF000000"/>
        <rFont val="Times New Roman"/>
        <family val="1"/>
      </rPr>
      <t xml:space="preserve">        </t>
    </r>
    <r>
      <rPr>
        <b/>
        <sz val="11"/>
        <color rgb="FF000000"/>
        <rFont val="Calibri"/>
        <family val="2"/>
      </rPr>
      <t xml:space="preserve">Include the following sections in the dashboard:  </t>
    </r>
  </si>
  <si>
    <r>
      <t>§</t>
    </r>
    <r>
      <rPr>
        <sz val="7"/>
        <color rgb="FF000000"/>
        <rFont val="Times New Roman"/>
        <family val="1"/>
      </rPr>
      <t xml:space="preserve">     </t>
    </r>
    <r>
      <rPr>
        <b/>
        <sz val="11"/>
        <color rgb="FF000000"/>
        <rFont val="Calibri"/>
        <family val="2"/>
      </rPr>
      <t xml:space="preserve">Overview: Key metrics such as total number of products, average rating, average discount percentage, and total reviews.  </t>
    </r>
  </si>
  <si>
    <r>
      <t>§</t>
    </r>
    <r>
      <rPr>
        <sz val="7"/>
        <color rgb="FF000000"/>
        <rFont val="Times New Roman"/>
        <family val="1"/>
      </rPr>
      <t xml:space="preserve">     </t>
    </r>
    <r>
      <rPr>
        <b/>
        <sz val="11"/>
        <color rgb="FF000000"/>
        <rFont val="Calibri"/>
        <family val="2"/>
      </rPr>
      <t xml:space="preserve">Product Performance: A table or chart showing the top 10 products by rating, reviews, and discounts.  </t>
    </r>
  </si>
  <si>
    <r>
      <t>§</t>
    </r>
    <r>
      <rPr>
        <sz val="7"/>
        <color rgb="FF000000"/>
        <rFont val="Times New Roman"/>
        <family val="1"/>
      </rPr>
      <t xml:space="preserve">     </t>
    </r>
    <r>
      <rPr>
        <b/>
        <sz val="11"/>
        <color rgb="FF000000"/>
        <rFont val="Calibri"/>
        <family val="2"/>
      </rPr>
      <t xml:space="preserve">Trend Analysis: Charts showing the relationship between discount percentage and reviews, and between rating and reviews.  </t>
    </r>
  </si>
  <si>
    <r>
      <t>§</t>
    </r>
    <r>
      <rPr>
        <sz val="7"/>
        <color rgb="FF000000"/>
        <rFont val="Times New Roman"/>
        <family val="1"/>
      </rPr>
      <t xml:space="preserve">     </t>
    </r>
    <r>
      <rPr>
        <b/>
        <sz val="11"/>
        <color rgb="FF000000"/>
        <rFont val="Calibri"/>
        <family val="2"/>
      </rPr>
      <t xml:space="preserve">Product Categories: A breakdown of products by rating category (Poor, Average, Excellent) and discount category (Low, Medium, High).  </t>
    </r>
  </si>
  <si>
    <r>
      <t>2.</t>
    </r>
    <r>
      <rPr>
        <b/>
        <sz val="7"/>
        <color rgb="FF000000"/>
        <rFont val="Times New Roman"/>
        <family val="1"/>
      </rPr>
      <t xml:space="preserve">                   </t>
    </r>
    <r>
      <rPr>
        <b/>
        <sz val="11"/>
        <color rgb="FF000000"/>
        <rFont val="Calibri"/>
        <family val="2"/>
      </rPr>
      <t xml:space="preserve">Visualizations:  </t>
    </r>
  </si>
  <si>
    <r>
      <t>o</t>
    </r>
    <r>
      <rPr>
        <sz val="7"/>
        <color rgb="FF000000"/>
        <rFont val="Times New Roman"/>
        <family val="1"/>
      </rPr>
      <t xml:space="preserve">        </t>
    </r>
    <r>
      <rPr>
        <b/>
        <sz val="11"/>
        <color rgb="FF000000"/>
        <rFont val="Calibri"/>
        <family val="2"/>
      </rPr>
      <t xml:space="preserve">Use bar charts, line charts, and pie charts to visualize trends and comparisons.  </t>
    </r>
  </si>
  <si>
    <r>
      <t>o</t>
    </r>
    <r>
      <rPr>
        <sz val="7"/>
        <color rgb="FF000000"/>
        <rFont val="Times New Roman"/>
        <family val="1"/>
      </rPr>
      <t xml:space="preserve">        </t>
    </r>
    <r>
      <rPr>
        <b/>
        <sz val="11"/>
        <color rgb="FF000000"/>
        <rFont val="Calibri"/>
        <family val="2"/>
      </rPr>
      <t xml:space="preserve">Use conditional formatting to highlight key metrics (e.g., high discounts, low ratings).  </t>
    </r>
  </si>
  <si>
    <r>
      <t>o</t>
    </r>
    <r>
      <rPr>
        <sz val="7"/>
        <color rgb="FF000000"/>
        <rFont val="Times New Roman"/>
        <family val="1"/>
      </rPr>
      <t xml:space="preserve">        </t>
    </r>
    <r>
      <rPr>
        <b/>
        <sz val="11"/>
        <color rgb="FF000000"/>
        <rFont val="Calibri"/>
        <family val="2"/>
      </rPr>
      <t xml:space="preserve">Add slicers for filtering data by rating, discount category, and product type.  </t>
    </r>
  </si>
  <si>
    <t xml:space="preserve">Example Insights to Explore:  </t>
  </si>
  <si>
    <r>
      <t>•</t>
    </r>
    <r>
      <rPr>
        <sz val="7"/>
        <color rgb="FF000000"/>
        <rFont val="Times New Roman"/>
        <family val="1"/>
      </rPr>
      <t xml:space="preserve">                 </t>
    </r>
    <r>
      <rPr>
        <b/>
        <sz val="11"/>
        <color rgb="FF000000"/>
        <rFont val="Calibri"/>
        <family val="2"/>
      </rPr>
      <t xml:space="preserve">Are higher discounts leading to more sales (as indicated by the number of reviews)?  </t>
    </r>
  </si>
  <si>
    <r>
      <t>•</t>
    </r>
    <r>
      <rPr>
        <sz val="7"/>
        <color rgb="FF000000"/>
        <rFont val="Times New Roman"/>
        <family val="1"/>
      </rPr>
      <t xml:space="preserve">                 </t>
    </r>
    <r>
      <rPr>
        <b/>
        <sz val="11"/>
        <color rgb="FF000000"/>
        <rFont val="Calibri"/>
        <family val="2"/>
      </rPr>
      <t xml:space="preserve">Do higher-rated products have higher prices, or are they more affordable?  </t>
    </r>
  </si>
  <si>
    <r>
      <t>•</t>
    </r>
    <r>
      <rPr>
        <sz val="7"/>
        <color rgb="FF000000"/>
        <rFont val="Times New Roman"/>
        <family val="1"/>
      </rPr>
      <t xml:space="preserve">                 </t>
    </r>
    <r>
      <rPr>
        <b/>
        <sz val="11"/>
        <color rgb="FF000000"/>
        <rFont val="Calibri"/>
        <family val="2"/>
      </rPr>
      <t xml:space="preserve">Which product categories (e.g., home appliances, tools, decorations) have the highest ratings and discounts?  </t>
    </r>
  </si>
  <si>
    <r>
      <t>•</t>
    </r>
    <r>
      <rPr>
        <sz val="7"/>
        <color rgb="FF000000"/>
        <rFont val="Times New Roman"/>
        <family val="1"/>
      </rPr>
      <t xml:space="preserve">                 </t>
    </r>
    <r>
      <rPr>
        <b/>
        <sz val="11"/>
        <color rgb="FF000000"/>
        <rFont val="Calibri"/>
        <family val="2"/>
      </rPr>
      <t xml:space="preserve">Are there any products with high discounts but low ratings? What could be the reason?  </t>
    </r>
  </si>
  <si>
    <t xml:space="preserve">Tools Required:  </t>
  </si>
  <si>
    <r>
      <t>•</t>
    </r>
    <r>
      <rPr>
        <sz val="7"/>
        <color rgb="FF000000"/>
        <rFont val="Times New Roman"/>
        <family val="1"/>
      </rPr>
      <t xml:space="preserve">                 </t>
    </r>
    <r>
      <rPr>
        <b/>
        <sz val="11"/>
        <color rgb="FF000000"/>
        <rFont val="Calibri"/>
        <family val="2"/>
      </rPr>
      <t xml:space="preserve">Microsoft Excel (Pivot Tables, Charts, Slicers, Conditional Formatting)  </t>
    </r>
  </si>
  <si>
    <r>
      <t>•</t>
    </r>
    <r>
      <rPr>
        <sz val="7"/>
        <color rgb="FF000000"/>
        <rFont val="Times New Roman"/>
        <family val="1"/>
      </rPr>
      <t xml:space="preserve">                 </t>
    </r>
    <r>
      <rPr>
        <b/>
        <sz val="11"/>
        <color rgb="FF000000"/>
        <rFont val="Calibri"/>
        <family val="2"/>
      </rPr>
      <t xml:space="preserve">Basic knowledge of data analysis and visualization techniques.  </t>
    </r>
  </si>
  <si>
    <t>Rating</t>
  </si>
  <si>
    <t>Weighing Scale Digital Bathroom Body Fat Scale Usb-Black</t>
  </si>
  <si>
    <t>Lasa Folding Table Serving Stand</t>
  </si>
  <si>
    <t>Genebre 115 In 1 Screwdriver Repairing Tool Set For Iphone Cellphone Hand Tool</t>
  </si>
  <si>
    <t>40Cm Gold Diy Acrylic Wall Sticker Clock</t>
  </si>
  <si>
    <t>Lasa Digital Thermometer And Hydrometer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</si>
  <si>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</si>
  <si>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</si>
  <si>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</si>
  <si>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</si>
  <si>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</si>
  <si>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</si>
  <si>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Lasa 3 Tier Bamboo Shoe Bench Storage Shelf</t>
  </si>
  <si>
    <t>Multifunctional Storage Rack Multi-Layer Bookshelf</t>
  </si>
  <si>
    <t>Led Eye Protection  Desk Lamp , Study, Reading, Usb Fan - Double Pen Holder</t>
  </si>
  <si>
    <t>Diy File Folder, Office Drawer File Holder, Pen Holder, Desktop Storage Rack</t>
  </si>
  <si>
    <t>Punch-Free Great Load Bearing Bathroom Storage Rack Wall Shelf-White</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</si>
  <si>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</si>
  <si>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</si>
  <si>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</si>
  <si>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</si>
  <si>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</si>
  <si>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</si>
  <si>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</si>
  <si>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</si>
  <si>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</si>
  <si>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Intelligent  Led Body Sensor Wireless Lighting Night Light Usb</t>
  </si>
  <si>
    <t>Vic Wireless Vacuum Cleaner Dual Use For Home And Car 120W High Power Powerful</t>
  </si>
  <si>
    <t>380Ml Usb Rechargeable Portable Small Blenders And Juicers</t>
  </si>
  <si>
    <t>32Pcs Portable Cordless Drill Set With Cyclic Battery Drive -26 Variable Speed</t>
  </si>
  <si>
    <t>Large Lazy Inflatable Sofa Chairs Pvc Lounger Seat Bag</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</si>
  <si>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</si>
  <si>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</si>
  <si>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</si>
  <si>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</si>
  <si>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7Pcs Silicone Thumb Knife Finger Protector Vegetable Harvesting Knife</t>
  </si>
  <si>
    <t>Memory Foam Neck Pillow Cover, With Pillow Core - 50*30Cm</t>
  </si>
  <si>
    <t>5M Waterproof Spherical Led String Lights Outdoor Ball Chain Lights Party Lighting Decoration Adjustable</t>
  </si>
  <si>
    <t>2 Pairs Cowhide Split Leather Work Gloves.32Â„‰ Or Above Welding Gloves</t>
  </si>
  <si>
    <t>Outdoor Portable Water Bottle With Medicine Box - 600Ml - Black</t>
  </si>
  <si>
    <t>2Pcs Ice Silk Square Cushion Cover Pillowcases - 65X65Cm</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</si>
  <si>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</si>
  <si>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</si>
  <si>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</si>
  <si>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</si>
  <si>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</si>
  <si>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</si>
  <si>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</si>
  <si>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Wall-Mounted Sticker Punch-Free Plug Fixer</t>
  </si>
  <si>
    <t>%Discount</t>
  </si>
  <si>
    <t>Rating Gategory</t>
  </si>
  <si>
    <t>Excellent</t>
  </si>
  <si>
    <t>Average</t>
  </si>
  <si>
    <t>Poor</t>
  </si>
  <si>
    <t>Discount Gategory</t>
  </si>
  <si>
    <t>Medium Discount</t>
  </si>
  <si>
    <t>High Discount</t>
  </si>
  <si>
    <t>Low Discount</t>
  </si>
  <si>
    <t>Descriptive Statistics</t>
  </si>
  <si>
    <t>Row Labels</t>
  </si>
  <si>
    <t>Grand Total</t>
  </si>
  <si>
    <t>Sum of old price</t>
  </si>
  <si>
    <t>Average of old price</t>
  </si>
  <si>
    <t>Average of %Discount</t>
  </si>
  <si>
    <t>Average of Current price</t>
  </si>
  <si>
    <t>Average of Rating</t>
  </si>
  <si>
    <t>Production Labels</t>
  </si>
  <si>
    <t xml:space="preserve">Calculate the average current price, old price, discount percentage, and rating across all products.  </t>
  </si>
  <si>
    <r>
      <rPr>
        <sz val="7"/>
        <color rgb="FF000000"/>
        <rFont val="Times New Roman"/>
        <family val="1"/>
      </rPr>
      <t xml:space="preserve"> </t>
    </r>
    <r>
      <rPr>
        <b/>
        <sz val="11"/>
        <color rgb="FF000000"/>
        <rFont val="Calibri"/>
        <family val="2"/>
      </rPr>
      <t xml:space="preserve">Identify the most expensive and least expensive products.  </t>
    </r>
  </si>
  <si>
    <t>Product Labels</t>
  </si>
  <si>
    <t>Sum of Review</t>
  </si>
  <si>
    <t>Average of Review</t>
  </si>
  <si>
    <t>Relationship btw rating and no. of reviews</t>
  </si>
  <si>
    <t xml:space="preserve">top 10 products with the highest discounts. </t>
  </si>
  <si>
    <t xml:space="preserve">top 5 products with the highest ratings and the top 5 products with the lowest ratings.  </t>
  </si>
  <si>
    <t>0.01-0.11</t>
  </si>
  <si>
    <t>0.11-0.21</t>
  </si>
  <si>
    <t>0.21-0.31</t>
  </si>
  <si>
    <t>0.31-0.41</t>
  </si>
  <si>
    <t>0.41-0.51</t>
  </si>
  <si>
    <t>0.51-0.61</t>
  </si>
  <si>
    <t>0.61-0.71</t>
  </si>
  <si>
    <t>Relationship btw %discount  and no. of reviews</t>
  </si>
  <si>
    <t>0-1</t>
  </si>
  <si>
    <t>2-3</t>
  </si>
  <si>
    <t>3-4</t>
  </si>
  <si>
    <t>4-5</t>
  </si>
  <si>
    <t>Max of Rating</t>
  </si>
  <si>
    <t>Max of Discount</t>
  </si>
  <si>
    <t>Max of Review</t>
  </si>
  <si>
    <t>Total Products</t>
  </si>
  <si>
    <t>Total  Reviews</t>
  </si>
  <si>
    <t>Ratings</t>
  </si>
  <si>
    <t xml:space="preserve"> top 5 products with the lowest ratings.  </t>
  </si>
  <si>
    <t>Min of Rating</t>
  </si>
  <si>
    <t>top 5 products with the highest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</si>
</sst>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1"/>
      <color rgb="FF000000"/>
      <name val="Calibri"/>
      <family val="2"/>
    </font>
    <font>
      <sz val="10"/>
      <color rgb="FF000000"/>
      <name val="Arial"/>
      <family val="2"/>
    </font>
    <font>
      <sz val="7"/>
      <color rgb="FF000000"/>
      <name val="Times New Roman"/>
      <family val="1"/>
    </font>
    <font>
      <b/>
      <sz val="7"/>
      <color rgb="FF000000"/>
      <name val="Times New Roman"/>
      <family val="1"/>
    </font>
    <font>
      <sz val="10"/>
      <color rgb="FF000000"/>
      <name val="Courier New"/>
      <family val="3"/>
    </font>
    <font>
      <sz val="10"/>
      <color rgb="FF000000"/>
      <name val="Wingdings"/>
      <charset val="2"/>
    </font>
    <font>
      <b/>
      <sz val="14"/>
      <color theme="1"/>
      <name val="Gill Sans MT"/>
      <family val="2"/>
      <scheme val="minor"/>
    </font>
    <font>
      <sz val="8"/>
      <name val="Gill Sans MT"/>
      <family val="2"/>
      <scheme val="minor"/>
    </font>
    <font>
      <sz val="10"/>
      <color rgb="FF000000"/>
      <name val="Courier New"/>
      <family val="1"/>
    </font>
    <font>
      <sz val="14"/>
      <color theme="1"/>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9" fontId="0" fillId="0" borderId="0" xfId="0" applyNumberFormat="1"/>
    <xf numFmtId="0" fontId="18" fillId="0" borderId="0" xfId="0" applyFont="1" applyAlignment="1">
      <alignment vertical="center"/>
    </xf>
    <xf numFmtId="0" fontId="19" fillId="0" borderId="0" xfId="0" applyFont="1" applyAlignment="1">
      <alignment horizontal="left" vertical="center" indent="5"/>
    </xf>
    <xf numFmtId="0" fontId="18" fillId="0" borderId="0" xfId="0" applyFont="1" applyAlignment="1">
      <alignment horizontal="left" vertical="center" indent="5"/>
    </xf>
    <xf numFmtId="0" fontId="22" fillId="0" borderId="0" xfId="0" applyFont="1" applyAlignment="1">
      <alignment horizontal="left" vertical="center" indent="12"/>
    </xf>
    <xf numFmtId="0" fontId="18" fillId="0" borderId="0" xfId="0" applyFont="1" applyAlignment="1">
      <alignment horizontal="left" vertical="center" indent="12"/>
    </xf>
    <xf numFmtId="0" fontId="18" fillId="0" borderId="0" xfId="0" applyFont="1" applyAlignment="1">
      <alignment horizontal="right" vertical="center"/>
    </xf>
    <xf numFmtId="0" fontId="23" fillId="0" borderId="0" xfId="0" applyFont="1" applyAlignment="1">
      <alignment horizontal="left" vertical="center" indent="15"/>
    </xf>
    <xf numFmtId="0" fontId="16" fillId="0" borderId="0" xfId="0" applyFont="1"/>
    <xf numFmtId="0" fontId="24" fillId="0" borderId="0" xfId="0" applyFon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horizontal="left" vertical="center" indent="12"/>
    </xf>
    <xf numFmtId="1" fontId="0" fillId="0" borderId="0" xfId="0" applyNumberFormat="1" applyAlignment="1">
      <alignment horizontal="left"/>
    </xf>
    <xf numFmtId="0" fontId="18" fillId="0" borderId="0" xfId="0" applyFont="1"/>
    <xf numFmtId="164" fontId="0" fillId="0" borderId="0" xfId="0" applyNumberFormat="1" applyAlignment="1">
      <alignment horizontal="left"/>
    </xf>
    <xf numFmtId="0" fontId="27" fillId="0" borderId="0" xfId="0" applyFont="1"/>
    <xf numFmtId="2" fontId="27"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 formatCode="0"/>
    </dxf>
    <dxf>
      <numFmt numFmtId="1" formatCode="0"/>
    </dxf>
    <dxf>
      <numFmt numFmtId="1" formatCode="0"/>
    </dxf>
    <dxf>
      <numFmt numFmtId="1" formatCode="0"/>
    </dxf>
    <dxf>
      <numFmt numFmtId="1" formatCode="0"/>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 formatCode="0"/>
    </dxf>
    <dxf>
      <numFmt numFmtId="164" formatCode="0.0"/>
    </dxf>
    <dxf>
      <numFmt numFmtId="1" formatCode="0"/>
    </dxf>
    <dxf>
      <numFmt numFmtId="0" formatCode="General"/>
    </dxf>
    <dxf>
      <numFmt numFmtId="1" formatCode="0"/>
    </dxf>
    <dxf>
      <numFmt numFmtId="0" formatCode="General"/>
    </dxf>
    <dxf>
      <numFmt numFmtId="13" formatCode="0%"/>
    </dxf>
    <dxf>
      <font>
        <b/>
        <i val="0"/>
        <strike val="0"/>
        <condense val="0"/>
        <extend val="0"/>
        <outline val="0"/>
        <shadow val="0"/>
        <u val="none"/>
        <vertAlign val="baseline"/>
        <sz val="14"/>
        <color theme="1"/>
        <name val="Gill Sans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 Analysis'!$B$4</c:f>
              <c:strCache>
                <c:ptCount val="1"/>
                <c:pt idx="0">
                  <c:v>Total</c:v>
                </c:pt>
              </c:strCache>
            </c:strRef>
          </c:tx>
          <c:spPr>
            <a:solidFill>
              <a:schemeClr val="accent1"/>
            </a:solidFill>
            <a:ln>
              <a:noFill/>
            </a:ln>
            <a:effectLst/>
            <a:sp3d/>
          </c:spPr>
          <c:invertIfNegative val="0"/>
          <c:cat>
            <c:strRef>
              <c:f>'Trend Analysis'!$A$5:$A$12</c:f>
              <c:strCache>
                <c:ptCount val="7"/>
                <c:pt idx="0">
                  <c:v>0.01-0.11</c:v>
                </c:pt>
                <c:pt idx="1">
                  <c:v>0.11-0.21</c:v>
                </c:pt>
                <c:pt idx="2">
                  <c:v>0.21-0.31</c:v>
                </c:pt>
                <c:pt idx="3">
                  <c:v>0.31-0.41</c:v>
                </c:pt>
                <c:pt idx="4">
                  <c:v>0.41-0.51</c:v>
                </c:pt>
                <c:pt idx="5">
                  <c:v>0.51-0.61</c:v>
                </c:pt>
                <c:pt idx="6">
                  <c:v>0.61-0.71</c:v>
                </c:pt>
              </c:strCache>
            </c:strRef>
          </c:cat>
          <c:val>
            <c:numRef>
              <c:f>'Trend Analysis'!$B$5:$B$12</c:f>
              <c:numCache>
                <c:formatCode>0</c:formatCode>
                <c:ptCount val="7"/>
                <c:pt idx="0">
                  <c:v>1.25</c:v>
                </c:pt>
                <c:pt idx="1">
                  <c:v>5</c:v>
                </c:pt>
                <c:pt idx="2">
                  <c:v>14.76923076923077</c:v>
                </c:pt>
                <c:pt idx="3">
                  <c:v>8.5294117647058822</c:v>
                </c:pt>
                <c:pt idx="4">
                  <c:v>5.375</c:v>
                </c:pt>
                <c:pt idx="5">
                  <c:v>8.4444444444444446</c:v>
                </c:pt>
                <c:pt idx="6">
                  <c:v>0</c:v>
                </c:pt>
              </c:numCache>
            </c:numRef>
          </c:val>
          <c:extLst>
            <c:ext xmlns:c16="http://schemas.microsoft.com/office/drawing/2014/chart" uri="{C3380CC4-5D6E-409C-BE32-E72D297353CC}">
              <c16:uniqueId val="{00000000-E1A6-4E97-AABA-7910C25DFE76}"/>
            </c:ext>
          </c:extLst>
        </c:ser>
        <c:dLbls>
          <c:showLegendKey val="0"/>
          <c:showVal val="0"/>
          <c:showCatName val="0"/>
          <c:showSerName val="0"/>
          <c:showPercent val="0"/>
          <c:showBubbleSize val="0"/>
        </c:dLbls>
        <c:gapWidth val="150"/>
        <c:shape val="box"/>
        <c:axId val="69165584"/>
        <c:axId val="69174224"/>
        <c:axId val="0"/>
      </c:bar3DChart>
      <c:catAx>
        <c:axId val="6916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9174224"/>
        <c:crosses val="autoZero"/>
        <c:auto val="1"/>
        <c:lblAlgn val="ctr"/>
        <c:lblOffset val="100"/>
        <c:noMultiLvlLbl val="0"/>
      </c:catAx>
      <c:valAx>
        <c:axId val="69174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Avg.Rating</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91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Analysis!PivotTable12</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45447203714914E-2"/>
          <c:y val="0.16415748031496064"/>
          <c:w val="0.8807496755213291"/>
          <c:h val="0.65929406824146974"/>
        </c:manualLayout>
      </c:layout>
      <c:lineChart>
        <c:grouping val="stacked"/>
        <c:varyColors val="0"/>
        <c:ser>
          <c:idx val="0"/>
          <c:order val="0"/>
          <c:tx>
            <c:strRef>
              <c:f>'Trend Analysis'!$B$15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Analysis'!$A$16:$A$20</c:f>
              <c:strCache>
                <c:ptCount val="4"/>
                <c:pt idx="0">
                  <c:v>0-1</c:v>
                </c:pt>
                <c:pt idx="1">
                  <c:v>2-3</c:v>
                </c:pt>
                <c:pt idx="2">
                  <c:v>3-4</c:v>
                </c:pt>
                <c:pt idx="3">
                  <c:v>4-5</c:v>
                </c:pt>
              </c:strCache>
            </c:strRef>
          </c:cat>
          <c:val>
            <c:numRef>
              <c:f>'Trend Analysis'!$B$16:$B$20</c:f>
              <c:numCache>
                <c:formatCode>0</c:formatCode>
                <c:ptCount val="4"/>
                <c:pt idx="0">
                  <c:v>0</c:v>
                </c:pt>
                <c:pt idx="1">
                  <c:v>169</c:v>
                </c:pt>
                <c:pt idx="2">
                  <c:v>69</c:v>
                </c:pt>
                <c:pt idx="3">
                  <c:v>483</c:v>
                </c:pt>
              </c:numCache>
            </c:numRef>
          </c:val>
          <c:smooth val="0"/>
          <c:extLst>
            <c:ext xmlns:c16="http://schemas.microsoft.com/office/drawing/2014/chart" uri="{C3380CC4-5D6E-409C-BE32-E72D297353CC}">
              <c16:uniqueId val="{00000000-44C4-49B0-B7A4-0D0157D5282C}"/>
            </c:ext>
          </c:extLst>
        </c:ser>
        <c:dLbls>
          <c:showLegendKey val="0"/>
          <c:showVal val="0"/>
          <c:showCatName val="0"/>
          <c:showSerName val="0"/>
          <c:showPercent val="0"/>
          <c:showBubbleSize val="0"/>
        </c:dLbls>
        <c:marker val="1"/>
        <c:smooth val="0"/>
        <c:axId val="2062341248"/>
        <c:axId val="2062336928"/>
      </c:lineChart>
      <c:catAx>
        <c:axId val="206234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2336928"/>
        <c:crosses val="autoZero"/>
        <c:auto val="1"/>
        <c:lblAlgn val="ctr"/>
        <c:lblOffset val="100"/>
        <c:noMultiLvlLbl val="0"/>
      </c:catAx>
      <c:valAx>
        <c:axId val="2062336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2341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Analysis'!$H$36</c:f>
              <c:strCache>
                <c:ptCount val="1"/>
                <c:pt idx="0">
                  <c:v>Total</c:v>
                </c:pt>
              </c:strCache>
            </c:strRef>
          </c:tx>
          <c:spPr>
            <a:solidFill>
              <a:schemeClr val="accent1"/>
            </a:solidFill>
            <a:ln>
              <a:noFill/>
            </a:ln>
            <a:effectLst/>
          </c:spPr>
          <c:invertIfNegative val="0"/>
          <c:cat>
            <c:strRef>
              <c:f>'Trend Analysis'!$G$37:$G$44</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'Trend Analysis'!$H$37:$H$44</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E7B0-4E83-8E5A-961F01375983}"/>
            </c:ext>
          </c:extLst>
        </c:ser>
        <c:dLbls>
          <c:showLegendKey val="0"/>
          <c:showVal val="0"/>
          <c:showCatName val="0"/>
          <c:showSerName val="0"/>
          <c:showPercent val="0"/>
          <c:showBubbleSize val="0"/>
        </c:dLbls>
        <c:gapWidth val="219"/>
        <c:overlap val="-27"/>
        <c:axId val="1272352112"/>
        <c:axId val="1272354512"/>
      </c:barChart>
      <c:catAx>
        <c:axId val="12723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4512"/>
        <c:crosses val="autoZero"/>
        <c:auto val="1"/>
        <c:lblAlgn val="ctr"/>
        <c:lblOffset val="100"/>
        <c:noMultiLvlLbl val="0"/>
      </c:catAx>
      <c:valAx>
        <c:axId val="127235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6356080489938"/>
          <c:y val="0.16118146689997084"/>
          <c:w val="0.81873840769903761"/>
          <c:h val="0.37830307669874597"/>
        </c:manualLayout>
      </c:layout>
      <c:barChart>
        <c:barDir val="col"/>
        <c:grouping val="clustered"/>
        <c:varyColors val="0"/>
        <c:ser>
          <c:idx val="0"/>
          <c:order val="0"/>
          <c:tx>
            <c:strRef>
              <c:f>'Production Performance'!$B$2</c:f>
              <c:strCache>
                <c:ptCount val="1"/>
                <c:pt idx="0">
                  <c:v>Total</c:v>
                </c:pt>
              </c:strCache>
            </c:strRef>
          </c:tx>
          <c:spPr>
            <a:solidFill>
              <a:schemeClr val="accent1"/>
            </a:solidFill>
            <a:ln>
              <a:noFill/>
            </a:ln>
            <a:effectLst/>
          </c:spPr>
          <c:invertIfNegative val="0"/>
          <c:cat>
            <c:strRef>
              <c:f>'Production Performance'!$A$3:$A$111</c:f>
              <c:strCache>
                <c:ptCount val="108"/>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pt idx="10">
                  <c:v>13 In 1 Home Repair Tools Box Kit Set</c:v>
                </c:pt>
                <c:pt idx="11">
                  <c:v>2Pcs Ice Silk Square Cushion Cover Pillowcases - 65X65Cm</c:v>
                </c:pt>
                <c:pt idx="12">
                  <c:v>Portable Wine Table With Folding Round Table</c:v>
                </c:pt>
                <c:pt idx="13">
                  <c:v>Diy File Folder, Office Drawer File Holder, Pen Holder, Desktop Storage Rack</c:v>
                </c:pt>
                <c:pt idx="14">
                  <c:v>12V 19500Rpm Handheld Electric Angle Grinder Tool - Uk - Yellow/Black</c:v>
                </c:pt>
                <c:pt idx="15">
                  <c:v>Memory Foam Neck Pillow Cover, With Pillow Core - 50*30Cm</c:v>
                </c:pt>
                <c:pt idx="16">
                  <c:v>Christmas Elk Fence Yard Lawn Decorations Cute For Holidays</c:v>
                </c:pt>
                <c:pt idx="17">
                  <c:v>9Pcs Gas Mask, For Painting, Dust, Formaldehyde Grinding, Polishing</c:v>
                </c:pt>
                <c:pt idx="18">
                  <c:v>380Ml Usb Rechargeable Portable Small Blenders And Juicers</c:v>
                </c:pt>
                <c:pt idx="19">
                  <c:v>3D Waterproof Eva Plastic Shower Curtain 1.8*2Mtrs</c:v>
                </c:pt>
                <c:pt idx="20">
                  <c:v>Konka Healty Electric Kettle, 24-Hour Heat Preservation,1.5L,800W, White</c:v>
                </c:pt>
                <c:pt idx="21">
                  <c:v>Bedroom Simple Floor Hanging Clothes Rack Single Pole Hat Rack - White</c:v>
                </c:pt>
                <c:pt idx="22">
                  <c:v>Large Lazy Inflatable Sofa Chairs Pvc Lounger Seat Bag</c:v>
                </c:pt>
                <c:pt idx="23">
                  <c:v>Weighing Scale Digital Bathroom Body Fat Scale Usb-Black</c:v>
                </c:pt>
                <c:pt idx="24">
                  <c:v>Wall Clock With Hidden Safe Box</c:v>
                </c:pt>
                <c:pt idx="25">
                  <c:v>7-Piece Set Of Storage Bags, Travel Storage Bags, Shoe Bags</c:v>
                </c:pt>
                <c:pt idx="26">
                  <c:v>5M Waterproof Spherical Led String Lights Outdoor Ball Chain Lights Party Lighting Decoration Adjustable</c:v>
                </c:pt>
                <c:pt idx="27">
                  <c:v>Artificial Potted Flowers Room Decorative Flowers (2 Pieces)</c:v>
                </c:pt>
                <c:pt idx="28">
                  <c:v>Multifunction Laser Level With Adjustment Tripod</c:v>
                </c:pt>
                <c:pt idx="29">
                  <c:v>6 Layers Steel Pipe Assembling Dustproof Storage Shoe Cabinet</c:v>
                </c:pt>
                <c:pt idx="30">
                  <c:v>8In1 Screwdriver With Led Light</c:v>
                </c:pt>
                <c:pt idx="31">
                  <c:v>Angle Measuring Tool Full Metal Multi Angle Measuring Tool</c:v>
                </c:pt>
                <c:pt idx="32">
                  <c:v>2Pcs Solar Street Light Flood Light Outdoor</c:v>
                </c:pt>
                <c:pt idx="33">
                  <c:v>52 Pieces Cake Decorating Tool Set Gift Kit Baking Supplies</c:v>
                </c:pt>
                <c:pt idx="34">
                  <c:v>Portable Mini Cordless Car Vacuum Cleaner - Blue</c:v>
                </c:pt>
                <c:pt idx="35">
                  <c:v>53 Pieces/Set Yarn Knitting Crochet Hooks With Bag - Pansies</c:v>
                </c:pt>
                <c:pt idx="36">
                  <c:v>137 Pieces Cake Decorating Tool Set Baking Supplies</c:v>
                </c:pt>
                <c:pt idx="37">
                  <c:v>53Pcs/Set Yarn Knitting Crochet Hooks With Bag - Fortune Cat</c:v>
                </c:pt>
                <c:pt idx="38">
                  <c:v>Led Wall Digital Alarm Clock Study Home 12 / 24H Clock Calendar</c:v>
                </c:pt>
                <c:pt idx="39">
                  <c:v>2Pcs/Lot Solar Led Outdoor Intelligent Light Controlled Wall Lamp</c:v>
                </c:pt>
                <c:pt idx="40">
                  <c:v>Car Phone Charging Stand</c:v>
                </c:pt>
                <c:pt idx="41">
                  <c:v>Christmas Fence Garden Decorations Outdoor For Holiday Home</c:v>
                </c:pt>
                <c:pt idx="42">
                  <c:v>Portable Wardrobe Nonwoven With 3 Hanging Rods And 6 Storage Shelves</c:v>
                </c:pt>
                <c:pt idx="43">
                  <c:v>12 Litre Black Insulated Lunch Box</c:v>
                </c:pt>
                <c:pt idx="44">
                  <c:v>Cartoon Embroidered Mini Towel Bear Cotton Wash Cloth Hand 4Pcs</c:v>
                </c:pt>
                <c:pt idx="45">
                  <c:v>Portable Home Small Air Humidifier 3-Speed Fan - Green</c:v>
                </c:pt>
                <c:pt idx="46">
                  <c:v>60W Hot Melt Glue Sprayer - Efficient And Stable Glue Dispensing</c:v>
                </c:pt>
                <c:pt idx="47">
                  <c:v>Desk Foldable Fan Adjustable Fan Strong Wind 3 Gear Usb</c:v>
                </c:pt>
                <c:pt idx="48">
                  <c:v>Led Solar Street Light-Fake Camera</c:v>
                </c:pt>
                <c:pt idx="49">
                  <c:v>115  Piece Set Of Multifunctional Precision Screwdrivers</c:v>
                </c:pt>
                <c:pt idx="50">
                  <c:v>Cute Christmas Fence Garden Decorations For Holiday Home</c:v>
                </c:pt>
                <c:pt idx="51">
                  <c:v>Mythco 120Cob Solar Wall Ligt With Motion Sensor And Remote Control 3 Modes</c:v>
                </c:pt>
                <c:pt idx="52">
                  <c:v>3Pcs Rotary Scraper Thermomix For Kitchen</c:v>
                </c:pt>
                <c:pt idx="53">
                  <c:v>100 Pcs Crochet Hook Tool Set Knitting Hook Set With Box</c:v>
                </c:pt>
                <c:pt idx="54">
                  <c:v>12 Litre Insulated Lunch Box Grey</c:v>
                </c:pt>
                <c:pt idx="55">
                  <c:v>Baby Early Education Shape And Color Cognitive Training Toys</c:v>
                </c:pt>
                <c:pt idx="56">
                  <c:v>Foldable Overbed Table/Desk</c:v>
                </c:pt>
                <c:pt idx="57">
                  <c:v>40Cm Gold Diy Acrylic Wall Sticker Clock</c:v>
                </c:pt>
                <c:pt idx="58">
                  <c:v>Metal Decorative Hooks Key Hangers Entryway Wall Hooks Towel Hooks - Home</c:v>
                </c:pt>
                <c:pt idx="59">
                  <c:v>Led Romantic Spaceship Starry Sky Projector,Children'S Bedroom Night Light-Blue</c:v>
                </c:pt>
                <c:pt idx="60">
                  <c:v>Multifunctional Hanging Storage Box Storage Bag (4 Layers)</c:v>
                </c:pt>
                <c:pt idx="61">
                  <c:v>4M Float Switch Water Level Controller -Water Tank</c:v>
                </c:pt>
                <c:pt idx="62">
                  <c:v>Wall-Mounted Sticker Punch-Free Plug Fixer</c:v>
                </c:pt>
                <c:pt idx="63">
                  <c:v>Balloon Insert, Birthday Party Balloon Set, Pu Leather</c:v>
                </c:pt>
                <c:pt idx="64">
                  <c:v>120W Cordless Vacuum Cleaners Handheld Electric Vacuum Cleaner</c:v>
                </c:pt>
                <c:pt idx="65">
                  <c:v>Simple Metal Dog Art Sculpture Decoration For Home Office</c:v>
                </c:pt>
                <c:pt idx="66">
                  <c:v>Wrought Iron Bathroom Shelf Wall Mounted Free Punch Toilet Rack</c:v>
                </c:pt>
                <c:pt idx="67">
                  <c:v>Lasa Digital Thermometer And Hydrometer</c:v>
                </c:pt>
                <c:pt idx="68">
                  <c:v>Intelligent  Led Body Sensor Wireless Lighting Night Light Usb</c:v>
                </c:pt>
                <c:pt idx="69">
                  <c:v>6 In 1 Bottle Can Opener Multifunctional Easy Opener</c:v>
                </c:pt>
                <c:pt idx="70">
                  <c:v>Anti-Skid Absorbent Insulation Coaster  For Home Office</c:v>
                </c:pt>
                <c:pt idx="71">
                  <c:v>Vic Wireless Vacuum Cleaner Dual Use For Home And Car 120W High Power Powerful</c:v>
                </c:pt>
                <c:pt idx="72">
                  <c:v>5 Pieces/Set Of Stainless Steel Induction Cooker Pots</c:v>
                </c:pt>
                <c:pt idx="73">
                  <c:v>Agapeon Toothbrush Holder And Toothpaste Dispenser</c:v>
                </c:pt>
                <c:pt idx="74">
                  <c:v>Household Pineapple Peeler Peeler</c:v>
                </c:pt>
                <c:pt idx="75">
                  <c:v>Creative Owl Shape Keychain Black</c:v>
                </c:pt>
                <c:pt idx="76">
                  <c:v>Brush &amp; Paintbrush Cleaning Tool Pink</c:v>
                </c:pt>
                <c:pt idx="77">
                  <c:v>220V 60W Electric Soldering Iron Kits With Tools, Tips, And Multimeter</c:v>
                </c:pt>
                <c:pt idx="78">
                  <c:v>Punch-Free Great Load Bearing Bathroom Storage Rack Wall Shelf-White</c:v>
                </c:pt>
                <c:pt idx="79">
                  <c:v>Cartoon Car Decoration Cute Individuality For Car Home Desk</c:v>
                </c:pt>
                <c:pt idx="80">
                  <c:v>Watercolour Gold Foil Textured Print Pillow Cover</c:v>
                </c:pt>
                <c:pt idx="81">
                  <c:v>4 Piece Coloured Stainless Steel Kitchenware Set</c:v>
                </c:pt>
                <c:pt idx="82">
                  <c:v>Modern Sofa Throw Pillow Cover-45X45Cm-Blue&amp;Red</c:v>
                </c:pt>
                <c:pt idx="83">
                  <c:v>Office Chair Lumbar Back Support Spine Posture Correction Pillow Car Cushion</c:v>
                </c:pt>
                <c:pt idx="84">
                  <c:v>Wall-Mounted Toothbrush Toothpaste Holder With Multiple Slots</c:v>
                </c:pt>
                <c:pt idx="85">
                  <c:v>Electronic Digital Display Vernier Caliper</c:v>
                </c:pt>
                <c:pt idx="86">
                  <c:v>7Pcs Silicone Thumb Knife Finger Protector Vegetable Harvesting Knife</c:v>
                </c:pt>
                <c:pt idx="87">
                  <c:v>Genebre 115 In 1 Screwdriver Repairing Tool Set For Iphone Cellphone Hand Tool</c:v>
                </c:pt>
                <c:pt idx="88">
                  <c:v>Exfoliate And Exfoliate Face Towel - Black</c:v>
                </c:pt>
                <c:pt idx="89">
                  <c:v>Classic Black Cat Cotton Hemp Pillow Case For Home Car</c:v>
                </c:pt>
                <c:pt idx="90">
                  <c:v>Peacock  Throw Pillow Cushion Case For Home Car</c:v>
                </c:pt>
                <c:pt idx="91">
                  <c:v>Metal Wall Clock Silver Dial Crystal Jewelry Round Home Decoration Wall Clock</c:v>
                </c:pt>
                <c:pt idx="92">
                  <c:v>Black Simple Water Cup Wine Coaster Anti Slip Absorbent</c:v>
                </c:pt>
                <c:pt idx="93">
                  <c:v>Wall Mount Automatic Toothpaste Dispenser Toothbrush Holder Toothpaste Squeezer</c:v>
                </c:pt>
                <c:pt idx="94">
                  <c:v>Outdoor Portable Water Bottle With Medicine Box - 600Ml - Black</c:v>
                </c:pt>
                <c:pt idx="95">
                  <c:v>Sewing Machine Needle Threader Stitch Insertion Tool Automatic Quick Sewing</c:v>
                </c:pt>
                <c:pt idx="96">
                  <c:v>Pilates Cloth Bag Waterproof Durable High Capacity Purple</c:v>
                </c:pt>
                <c:pt idx="97">
                  <c:v>Cushion Silicone Butt Cushion Summer Ice Cushion Honeycomb Gel Cushion</c:v>
                </c:pt>
                <c:pt idx="98">
                  <c:v>1Pc Refrigerator Food Seal Pocket Fridge Bags</c:v>
                </c:pt>
                <c:pt idx="99">
                  <c:v>3Pcs Single Head Knitting Crochet Sweater Needle Set</c:v>
                </c:pt>
                <c:pt idx="100">
                  <c:v>Shower Nozzle Cleaning Unclogging Needle Mini Crevice Small Hole Cleaning Brush</c:v>
                </c:pt>
                <c:pt idx="101">
                  <c:v>Multi-Purpose Rice Drainage Basket And Fruit And Vegetable Drainage Sieve</c:v>
                </c:pt>
                <c:pt idx="102">
                  <c:v>Pen Grips For Kids Pen Grip Posture Correction Tool For Kids</c:v>
                </c:pt>
                <c:pt idx="103">
                  <c:v>Shower Cap Wide Elastic Band Cover Reusable Bashroom Cap</c:v>
                </c:pt>
                <c:pt idx="104">
                  <c:v>Portable Soap Dispenser Kitchen Detergent Press Box Kitchen Tools</c:v>
                </c:pt>
                <c:pt idx="105">
                  <c:v>2 Pairs Cowhide Split Leather Work Gloves.32Â„‰ Or Above Welding Gloves</c:v>
                </c:pt>
                <c:pt idx="106">
                  <c:v>Thickening Multipurpose Non Stick Easy To Clean Heat Resistant Spoon Pad</c:v>
                </c:pt>
                <c:pt idx="107">
                  <c:v>24 Grid Wall-Mounted Sundries Organiser Fabric Closet Bag Storage Rack</c:v>
                </c:pt>
              </c:strCache>
            </c:strRef>
          </c:cat>
          <c:val>
            <c:numRef>
              <c:f>'Production Performance'!$B$3:$B$111</c:f>
              <c:numCache>
                <c:formatCode>General</c:formatCode>
                <c:ptCount val="108"/>
                <c:pt idx="0">
                  <c:v>2585</c:v>
                </c:pt>
                <c:pt idx="1">
                  <c:v>2452</c:v>
                </c:pt>
                <c:pt idx="2">
                  <c:v>2393</c:v>
                </c:pt>
                <c:pt idx="3">
                  <c:v>1946</c:v>
                </c:pt>
                <c:pt idx="4">
                  <c:v>1880</c:v>
                </c:pt>
                <c:pt idx="5">
                  <c:v>1721</c:v>
                </c:pt>
                <c:pt idx="6">
                  <c:v>1670</c:v>
                </c:pt>
                <c:pt idx="7">
                  <c:v>1526</c:v>
                </c:pt>
                <c:pt idx="8">
                  <c:v>1418</c:v>
                </c:pt>
                <c:pt idx="9">
                  <c:v>1360</c:v>
                </c:pt>
                <c:pt idx="10">
                  <c:v>1329</c:v>
                </c:pt>
                <c:pt idx="11">
                  <c:v>1200</c:v>
                </c:pt>
                <c:pt idx="12">
                  <c:v>1200</c:v>
                </c:pt>
                <c:pt idx="13">
                  <c:v>1070</c:v>
                </c:pt>
                <c:pt idx="14">
                  <c:v>1011</c:v>
                </c:pt>
                <c:pt idx="15">
                  <c:v>1010</c:v>
                </c:pt>
                <c:pt idx="16">
                  <c:v>1001</c:v>
                </c:pt>
                <c:pt idx="17">
                  <c:v>1000</c:v>
                </c:pt>
                <c:pt idx="18">
                  <c:v>1000</c:v>
                </c:pt>
                <c:pt idx="19">
                  <c:v>968</c:v>
                </c:pt>
                <c:pt idx="20">
                  <c:v>948</c:v>
                </c:pt>
                <c:pt idx="21">
                  <c:v>941</c:v>
                </c:pt>
                <c:pt idx="22">
                  <c:v>940</c:v>
                </c:pt>
                <c:pt idx="23">
                  <c:v>919</c:v>
                </c:pt>
                <c:pt idx="24">
                  <c:v>850</c:v>
                </c:pt>
                <c:pt idx="25">
                  <c:v>846</c:v>
                </c:pt>
                <c:pt idx="26">
                  <c:v>830</c:v>
                </c:pt>
                <c:pt idx="27">
                  <c:v>824</c:v>
                </c:pt>
                <c:pt idx="28">
                  <c:v>819</c:v>
                </c:pt>
                <c:pt idx="29">
                  <c:v>800</c:v>
                </c:pt>
                <c:pt idx="30">
                  <c:v>794</c:v>
                </c:pt>
                <c:pt idx="31">
                  <c:v>768</c:v>
                </c:pt>
                <c:pt idx="32">
                  <c:v>750</c:v>
                </c:pt>
                <c:pt idx="33">
                  <c:v>741</c:v>
                </c:pt>
                <c:pt idx="34">
                  <c:v>724</c:v>
                </c:pt>
                <c:pt idx="35">
                  <c:v>719</c:v>
                </c:pt>
                <c:pt idx="36">
                  <c:v>713</c:v>
                </c:pt>
                <c:pt idx="37">
                  <c:v>710</c:v>
                </c:pt>
                <c:pt idx="38">
                  <c:v>700</c:v>
                </c:pt>
                <c:pt idx="39">
                  <c:v>695</c:v>
                </c:pt>
                <c:pt idx="40">
                  <c:v>645</c:v>
                </c:pt>
                <c:pt idx="41">
                  <c:v>644</c:v>
                </c:pt>
                <c:pt idx="42">
                  <c:v>640</c:v>
                </c:pt>
                <c:pt idx="43">
                  <c:v>640</c:v>
                </c:pt>
                <c:pt idx="44">
                  <c:v>620</c:v>
                </c:pt>
                <c:pt idx="45">
                  <c:v>616</c:v>
                </c:pt>
                <c:pt idx="46">
                  <c:v>595</c:v>
                </c:pt>
                <c:pt idx="47">
                  <c:v>592</c:v>
                </c:pt>
                <c:pt idx="48">
                  <c:v>587</c:v>
                </c:pt>
                <c:pt idx="49">
                  <c:v>575</c:v>
                </c:pt>
                <c:pt idx="50">
                  <c:v>544</c:v>
                </c:pt>
                <c:pt idx="51">
                  <c:v>528</c:v>
                </c:pt>
                <c:pt idx="52">
                  <c:v>510</c:v>
                </c:pt>
                <c:pt idx="53">
                  <c:v>510</c:v>
                </c:pt>
                <c:pt idx="54">
                  <c:v>510</c:v>
                </c:pt>
                <c:pt idx="55">
                  <c:v>504</c:v>
                </c:pt>
                <c:pt idx="56">
                  <c:v>500</c:v>
                </c:pt>
                <c:pt idx="57">
                  <c:v>483</c:v>
                </c:pt>
                <c:pt idx="58">
                  <c:v>472</c:v>
                </c:pt>
                <c:pt idx="59">
                  <c:v>470</c:v>
                </c:pt>
                <c:pt idx="60">
                  <c:v>470</c:v>
                </c:pt>
                <c:pt idx="61">
                  <c:v>456</c:v>
                </c:pt>
                <c:pt idx="62">
                  <c:v>450</c:v>
                </c:pt>
                <c:pt idx="63">
                  <c:v>450</c:v>
                </c:pt>
                <c:pt idx="64">
                  <c:v>428</c:v>
                </c:pt>
                <c:pt idx="65">
                  <c:v>401</c:v>
                </c:pt>
                <c:pt idx="66">
                  <c:v>390</c:v>
                </c:pt>
                <c:pt idx="67">
                  <c:v>359</c:v>
                </c:pt>
                <c:pt idx="68">
                  <c:v>355</c:v>
                </c:pt>
                <c:pt idx="69">
                  <c:v>354</c:v>
                </c:pt>
                <c:pt idx="70">
                  <c:v>352</c:v>
                </c:pt>
                <c:pt idx="71">
                  <c:v>335</c:v>
                </c:pt>
                <c:pt idx="72">
                  <c:v>330</c:v>
                </c:pt>
                <c:pt idx="73">
                  <c:v>318</c:v>
                </c:pt>
                <c:pt idx="74">
                  <c:v>317</c:v>
                </c:pt>
                <c:pt idx="75">
                  <c:v>305</c:v>
                </c:pt>
                <c:pt idx="76">
                  <c:v>301</c:v>
                </c:pt>
                <c:pt idx="77">
                  <c:v>291</c:v>
                </c:pt>
                <c:pt idx="78">
                  <c:v>267</c:v>
                </c:pt>
                <c:pt idx="79">
                  <c:v>263</c:v>
                </c:pt>
                <c:pt idx="80">
                  <c:v>257</c:v>
                </c:pt>
                <c:pt idx="81">
                  <c:v>238</c:v>
                </c:pt>
                <c:pt idx="82">
                  <c:v>238</c:v>
                </c:pt>
                <c:pt idx="83">
                  <c:v>233</c:v>
                </c:pt>
                <c:pt idx="84">
                  <c:v>231</c:v>
                </c:pt>
                <c:pt idx="85">
                  <c:v>227</c:v>
                </c:pt>
                <c:pt idx="86">
                  <c:v>220</c:v>
                </c:pt>
                <c:pt idx="87">
                  <c:v>200</c:v>
                </c:pt>
                <c:pt idx="88">
                  <c:v>197</c:v>
                </c:pt>
                <c:pt idx="89">
                  <c:v>189</c:v>
                </c:pt>
                <c:pt idx="90">
                  <c:v>165</c:v>
                </c:pt>
                <c:pt idx="91">
                  <c:v>153</c:v>
                </c:pt>
                <c:pt idx="92">
                  <c:v>151</c:v>
                </c:pt>
                <c:pt idx="93">
                  <c:v>134</c:v>
                </c:pt>
                <c:pt idx="94">
                  <c:v>101</c:v>
                </c:pt>
                <c:pt idx="95">
                  <c:v>95</c:v>
                </c:pt>
                <c:pt idx="96">
                  <c:v>85</c:v>
                </c:pt>
                <c:pt idx="97">
                  <c:v>67</c:v>
                </c:pt>
                <c:pt idx="98">
                  <c:v>62</c:v>
                </c:pt>
                <c:pt idx="99">
                  <c:v>42</c:v>
                </c:pt>
                <c:pt idx="100">
                  <c:v>41</c:v>
                </c:pt>
                <c:pt idx="101">
                  <c:v>40</c:v>
                </c:pt>
                <c:pt idx="102">
                  <c:v>39</c:v>
                </c:pt>
                <c:pt idx="103">
                  <c:v>37</c:v>
                </c:pt>
                <c:pt idx="104">
                  <c:v>37</c:v>
                </c:pt>
                <c:pt idx="105">
                  <c:v>33</c:v>
                </c:pt>
                <c:pt idx="106">
                  <c:v>31</c:v>
                </c:pt>
                <c:pt idx="107">
                  <c:v>24</c:v>
                </c:pt>
              </c:numCache>
            </c:numRef>
          </c:val>
          <c:extLst>
            <c:ext xmlns:c16="http://schemas.microsoft.com/office/drawing/2014/chart" uri="{C3380CC4-5D6E-409C-BE32-E72D297353CC}">
              <c16:uniqueId val="{00000000-1F1C-4F2B-BB46-1F7717270B5F}"/>
            </c:ext>
          </c:extLst>
        </c:ser>
        <c:dLbls>
          <c:showLegendKey val="0"/>
          <c:showVal val="0"/>
          <c:showCatName val="0"/>
          <c:showSerName val="0"/>
          <c:showPercent val="0"/>
          <c:showBubbleSize val="0"/>
        </c:dLbls>
        <c:gapWidth val="219"/>
        <c:overlap val="-27"/>
        <c:axId val="1967863936"/>
        <c:axId val="1967864896"/>
      </c:barChart>
      <c:catAx>
        <c:axId val="196786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4896"/>
        <c:crosses val="autoZero"/>
        <c:auto val="1"/>
        <c:lblAlgn val="ctr"/>
        <c:lblOffset val="100"/>
        <c:noMultiLvlLbl val="0"/>
      </c:catAx>
      <c:valAx>
        <c:axId val="1967864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54044880515593E-2"/>
          <c:y val="7.407407407407407E-2"/>
          <c:w val="0.89399953278091548"/>
          <c:h val="0.84204505686789155"/>
        </c:manualLayout>
      </c:layout>
      <c:barChart>
        <c:barDir val="col"/>
        <c:grouping val="clustered"/>
        <c:varyColors val="0"/>
        <c:ser>
          <c:idx val="0"/>
          <c:order val="0"/>
          <c:tx>
            <c:strRef>
              <c:f>'Production Performance'!$F$2</c:f>
              <c:strCache>
                <c:ptCount val="1"/>
                <c:pt idx="0">
                  <c:v>Total</c:v>
                </c:pt>
              </c:strCache>
            </c:strRef>
          </c:tx>
          <c:spPr>
            <a:solidFill>
              <a:schemeClr val="accent1"/>
            </a:solidFill>
            <a:ln>
              <a:noFill/>
            </a:ln>
            <a:effectLst/>
          </c:spPr>
          <c:invertIfNegative val="0"/>
          <c:cat>
            <c:strRef>
              <c:f>'Production Performance'!$E$3:$E$111</c:f>
              <c:strCache>
                <c:ptCount val="108"/>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pt idx="10">
                  <c:v>Agapeon Toothbrush Holder And Toothpaste Dispenser</c:v>
                </c:pt>
                <c:pt idx="11">
                  <c:v>Vic Wireless Vacuum Cleaner Dual Use For Home And Car 120W High Power Powerful</c:v>
                </c:pt>
                <c:pt idx="12">
                  <c:v>Intelligent  Led Body Sensor Wireless Lighting Night Light Usb</c:v>
                </c:pt>
                <c:pt idx="13">
                  <c:v>220V 60W Electric Soldering Iron Kits With Tools, Tips, And Multimeter</c:v>
                </c:pt>
                <c:pt idx="14">
                  <c:v>Foldable Overbed Table/Desk</c:v>
                </c:pt>
                <c:pt idx="15">
                  <c:v>Metal Decorative Hooks Key Hangers Entryway Wall Hooks Towel Hooks - Home</c:v>
                </c:pt>
                <c:pt idx="16">
                  <c:v>3Pcs Single Head Knitting Crochet Sweater Needle Set</c:v>
                </c:pt>
                <c:pt idx="17">
                  <c:v>12 Litre Black Insulated Lunch Box</c:v>
                </c:pt>
                <c:pt idx="18">
                  <c:v>5-Pcs Stainless Steel Cooking Pot Set With Steamed Slices</c:v>
                </c:pt>
                <c:pt idx="19">
                  <c:v>Genebre 115 In 1 Screwdriver Repairing Tool Set For Iphone Cellphone Hand Tool</c:v>
                </c:pt>
                <c:pt idx="20">
                  <c:v>Portable Wardrobe Nonwoven With 3 Hanging Rods And 6 Storage Shelves</c:v>
                </c:pt>
                <c:pt idx="21">
                  <c:v>40Cm Gold Diy Acrylic Wall Sticker Clock</c:v>
                </c:pt>
                <c:pt idx="22">
                  <c:v>12 Litre Insulated Lunch Box Grey</c:v>
                </c:pt>
                <c:pt idx="23">
                  <c:v>Mythco 120Cob Solar Wall Ligt With Motion Sensor And Remote Control 3 Modes</c:v>
                </c:pt>
                <c:pt idx="24">
                  <c:v>Multifunction Laser Level With Adjustment Tripod</c:v>
                </c:pt>
                <c:pt idx="25">
                  <c:v>Led Eye Protection  Desk Lamp , Study, Reading, Usb Fan - Double Pen Holder</c:v>
                </c:pt>
                <c:pt idx="26">
                  <c:v>Exfoliate And Exfoliate Face Towel - Black</c:v>
                </c:pt>
                <c:pt idx="27">
                  <c:v>Lasa 3 Tier Bamboo Shoe Bench Storage Shelf</c:v>
                </c:pt>
                <c:pt idx="28">
                  <c:v>Electric Led Uv Mosquito Killer Lamp, Outdoor/Indoor Fly Killer Trap Light -Usb</c:v>
                </c:pt>
                <c:pt idx="29">
                  <c:v>Weighing Scale Digital Bathroom Body Fat Scale Usb-Black</c:v>
                </c:pt>
                <c:pt idx="30">
                  <c:v>380Ml Usb Rechargeable Portable Small Blenders And Juicers</c:v>
                </c:pt>
                <c:pt idx="31">
                  <c:v>Artificial Potted Flowers Room Decorative Flowers (2 Pieces)</c:v>
                </c:pt>
                <c:pt idx="32">
                  <c:v>Lasa Digital Thermometer And Hydrometer</c:v>
                </c:pt>
                <c:pt idx="33">
                  <c:v>Led Romantic Spaceship Starry Sky Projector,Children'S Bedroom Night Light-Blue</c:v>
                </c:pt>
                <c:pt idx="34">
                  <c:v>7-Piece Set Of Storage Bags, Travel Storage Bags, Shoe Bags</c:v>
                </c:pt>
                <c:pt idx="35">
                  <c:v>5 Pieces/Set Of Stainless Steel Induction Cooker Pots</c:v>
                </c:pt>
                <c:pt idx="36">
                  <c:v>Watercolour Gold Foil Textured Print Pillow Cover</c:v>
                </c:pt>
                <c:pt idx="37">
                  <c:v>Large Lazy Inflatable Sofa Chairs Pvc Lounger Seat Bag</c:v>
                </c:pt>
                <c:pt idx="38">
                  <c:v>Lasa Folding Table Serving Stand</c:v>
                </c:pt>
                <c:pt idx="39">
                  <c:v>Led Wall Digital Alarm Clock Study Home 12 / 24H Clock Calendar</c:v>
                </c:pt>
                <c:pt idx="40">
                  <c:v>Portable Home Small Air Humidifier 3-Speed Fan - Green</c:v>
                </c:pt>
                <c:pt idx="41">
                  <c:v>32Pcs Portable Cordless Drill Set With Cyclic Battery Drive -26 Variable Speed</c:v>
                </c:pt>
                <c:pt idx="42">
                  <c:v>Wrought Iron Bathroom Shelf Wall Mounted Free Punch Toilet Rack</c:v>
                </c:pt>
                <c:pt idx="43">
                  <c:v>13 In 1 Home Repair Tools Box Kit Set</c:v>
                </c:pt>
                <c:pt idx="44">
                  <c:v>Lasa Aluminum Folding Truck Hand Cart - 68Kg Max</c:v>
                </c:pt>
                <c:pt idx="45">
                  <c:v>Classic Black Cat Cotton Hemp Pillow Case For Home Car</c:v>
                </c:pt>
                <c:pt idx="46">
                  <c:v>Anti-Skid Absorbent Insulation Coaster  For Home Office</c:v>
                </c:pt>
                <c:pt idx="47">
                  <c:v>115  Piece Set Of Multifunctional Precision Screwdrivers</c:v>
                </c:pt>
                <c:pt idx="48">
                  <c:v>Desk Foldable Fan Adjustable Fan Strong Wind 3 Gear Usb</c:v>
                </c:pt>
                <c:pt idx="49">
                  <c:v>Peacock  Throw Pillow Cushion Case For Home Car</c:v>
                </c:pt>
                <c:pt idx="50">
                  <c:v>Household Pineapple Peeler Peeler</c:v>
                </c:pt>
                <c:pt idx="51">
                  <c:v>Bedroom Simple Floor Hanging Clothes Rack Single Pole Hat Rack - White</c:v>
                </c:pt>
                <c:pt idx="52">
                  <c:v>Diy File Folder, Office Drawer File Holder, Pen Holder, Desktop Storage Rack</c:v>
                </c:pt>
                <c:pt idx="53">
                  <c:v>Memory Foam Neck Pillow Cover, With Pillow Core - 50*30Cm</c:v>
                </c:pt>
                <c:pt idx="54">
                  <c:v>Wall-Mounted Sticker Punch-Free Plug Fixer</c:v>
                </c:pt>
                <c:pt idx="55">
                  <c:v>Konka Healty Electric Kettle, 24-Hour Heat Preservation,1.5L,800W, White</c:v>
                </c:pt>
                <c:pt idx="56">
                  <c:v>2Pcs Ice Silk Square Cushion Cover Pillowcases - 65X65Cm</c:v>
                </c:pt>
                <c:pt idx="57">
                  <c:v>Multifunctional Hanging Storage Box Storage Bag (4 Layers)</c:v>
                </c:pt>
                <c:pt idx="58">
                  <c:v>Lasa Stainless Steel Double Wall Mount Soap Dispenser - 500Ml</c:v>
                </c:pt>
                <c:pt idx="59">
                  <c:v>Multifunctional Storage Rack Multi-Layer Bookshelf</c:v>
                </c:pt>
                <c:pt idx="60">
                  <c:v>6 In 1 Bottle Can Opener Multifunctional Easy Opener</c:v>
                </c:pt>
                <c:pt idx="61">
                  <c:v>Multi-Purpose Rice Drainage Basket And Fruit And Vegetable Drainage Sieve</c:v>
                </c:pt>
                <c:pt idx="62">
                  <c:v>Baby Early Education Shape And Color Cognitive Training Toys</c:v>
                </c:pt>
                <c:pt idx="63">
                  <c:v>Christmas Elk Fence Yard Lawn Decorations Cute For Holidays</c:v>
                </c:pt>
                <c:pt idx="64">
                  <c:v>12V 19500Rpm Handheld Electric Angle Grinder Tool - Uk - Yellow/Black</c:v>
                </c:pt>
                <c:pt idx="65">
                  <c:v>Office Chair Lumbar Back Support Spine Posture Correction Pillow Car Cushion</c:v>
                </c:pt>
                <c:pt idx="66">
                  <c:v>Cute Christmas Fence Garden Decorations For Holiday Home</c:v>
                </c:pt>
                <c:pt idx="67">
                  <c:v>Cartoon Embroidered Mini Towel Bear Cotton Wash Cloth Hand 4Pcs</c:v>
                </c:pt>
                <c:pt idx="68">
                  <c:v>8In1 Screwdriver With Led Light</c:v>
                </c:pt>
                <c:pt idx="69">
                  <c:v>7Pcs Silicone Thumb Knife Finger Protector Vegetable Harvesting Knife</c:v>
                </c:pt>
                <c:pt idx="70">
                  <c:v>6 Layers Steel Pipe Assembling Dustproof Storage Shoe Cabinet</c:v>
                </c:pt>
                <c:pt idx="71">
                  <c:v>Pen Grips For Kids Pen Grip Posture Correction Tool For Kids</c:v>
                </c:pt>
                <c:pt idx="72">
                  <c:v>4Pcs Bathroom/Kitchen Towel Rack,Roll Paper Holder,Towel Bars,Hook</c:v>
                </c:pt>
                <c:pt idx="73">
                  <c:v>Portable Soap Dispenser Kitchen Detergent Press Box Kitchen Tools</c:v>
                </c:pt>
                <c:pt idx="74">
                  <c:v>2Pcs Solar Street Light Flood Light Outdoor</c:v>
                </c:pt>
                <c:pt idx="75">
                  <c:v>Christmas Fence Garden Decorations Outdoor For Holiday Home</c:v>
                </c:pt>
                <c:pt idx="76">
                  <c:v>Modern Sofa Throw Pillow Cover-45X45Cm-Blue&amp;Red</c:v>
                </c:pt>
                <c:pt idx="77">
                  <c:v>Portable Wine Table With Folding Round Table</c:v>
                </c:pt>
                <c:pt idx="78">
                  <c:v>3Pcs Rotary Scraper Thermomix For Kitchen</c:v>
                </c:pt>
                <c:pt idx="79">
                  <c:v>2 Pairs Cowhide Split Leather Work Gloves.32Â„‰ Or Above Welding Gloves</c:v>
                </c:pt>
                <c:pt idx="80">
                  <c:v>9Pcs Gas Mask, For Painting, Dust, Formaldehyde Grinding, Polishing</c:v>
                </c:pt>
                <c:pt idx="81">
                  <c:v>Sewing Machine Needle Threader Stitch Insertion Tool Automatic Quick Sewing</c:v>
                </c:pt>
                <c:pt idx="82">
                  <c:v>24 Grid Wall-Mounted Sundries Organiser Fabric Closet Bag Storage Rack</c:v>
                </c:pt>
                <c:pt idx="83">
                  <c:v>Shower Cap Wide Elastic Band Cover Reusable Bashroom Cap</c:v>
                </c:pt>
                <c:pt idx="84">
                  <c:v>4 Piece Coloured Stainless Steel Kitchenware Set</c:v>
                </c:pt>
                <c:pt idx="85">
                  <c:v>Shower Nozzle Cleaning Unclogging Needle Mini Crevice Small Hole Cleaning Brush</c:v>
                </c:pt>
                <c:pt idx="86">
                  <c:v>Cartoon Car Decoration Cute Individuality For Car Home Desk</c:v>
                </c:pt>
                <c:pt idx="87">
                  <c:v>Simple Metal Dog Art Sculpture Decoration For Home Office</c:v>
                </c:pt>
                <c:pt idx="88">
                  <c:v>2Pcs/Lot Solar Led Outdoor Intelligent Light Controlled Wall Lamp</c:v>
                </c:pt>
                <c:pt idx="89">
                  <c:v>Thickening Multipurpose Non Stick Easy To Clean Heat Resistant Spoon Pad</c:v>
                </c:pt>
                <c:pt idx="90">
                  <c:v>4M Float Switch Water Level Controller -Water Tank</c:v>
                </c:pt>
                <c:pt idx="91">
                  <c:v>Wall Clock With Hidden Safe Box</c:v>
                </c:pt>
                <c:pt idx="92">
                  <c:v>Metal Wall Clock Silver Dial Crystal Jewelry Round Home Decoration Wall Clock</c:v>
                </c:pt>
                <c:pt idx="93">
                  <c:v>Wall Mount Automatic Toothpaste Dispenser Toothbrush Holder Toothpaste Squeezer</c:v>
                </c:pt>
                <c:pt idx="94">
                  <c:v>60W Hot Melt Glue Sprayer - Efficient And Stable Glue Dispensing</c:v>
                </c:pt>
                <c:pt idx="95">
                  <c:v>Car Phone Charging Stand</c:v>
                </c:pt>
                <c:pt idx="96">
                  <c:v>Pilates Cloth Bag Waterproof Durable High Capacity Purple</c:v>
                </c:pt>
                <c:pt idx="97">
                  <c:v>5M Waterproof Spherical Led String Lights Outdoor Ball Chain Lights Party Lighting Decoration Adjustable</c:v>
                </c:pt>
                <c:pt idx="98">
                  <c:v>Balloon Insert, Birthday Party Balloon Set, Pu Leather</c:v>
                </c:pt>
                <c:pt idx="99">
                  <c:v>1Pc Refrigerator Food Seal Pocket Fridge Bags</c:v>
                </c:pt>
                <c:pt idx="100">
                  <c:v>Black Simple Water Cup Wine Coaster Anti Slip Absorbent</c:v>
                </c:pt>
                <c:pt idx="101">
                  <c:v>Brush &amp; Paintbrush Cleaning Tool Pink</c:v>
                </c:pt>
                <c:pt idx="102">
                  <c:v>Cushion Silicone Butt Cushion Summer Ice Cushion Honeycomb Gel Cushion</c:v>
                </c:pt>
                <c:pt idx="103">
                  <c:v>Wall-Mounted Toothbrush Toothpaste Holder With Multiple Slots</c:v>
                </c:pt>
                <c:pt idx="104">
                  <c:v>Led Solar Street Light-Fake Camera</c:v>
                </c:pt>
                <c:pt idx="105">
                  <c:v>Angle Measuring Tool Full Metal Multi Angle Measuring Tool</c:v>
                </c:pt>
                <c:pt idx="106">
                  <c:v>Creative Owl Shape Keychain Black</c:v>
                </c:pt>
                <c:pt idx="107">
                  <c:v>Outdoor Portable Water Bottle With Medicine Box - 600Ml - Black</c:v>
                </c:pt>
              </c:strCache>
            </c:strRef>
          </c:cat>
          <c:val>
            <c:numRef>
              <c:f>'Production Performance'!$F$3:$F$111</c:f>
              <c:numCache>
                <c:formatCode>0</c:formatCode>
                <c:ptCount val="108"/>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extLst>
            <c:ext xmlns:c16="http://schemas.microsoft.com/office/drawing/2014/chart" uri="{C3380CC4-5D6E-409C-BE32-E72D297353CC}">
              <c16:uniqueId val="{00000000-DEA8-45FC-8A6A-181BB711A3D6}"/>
            </c:ext>
          </c:extLst>
        </c:ser>
        <c:dLbls>
          <c:showLegendKey val="0"/>
          <c:showVal val="0"/>
          <c:showCatName val="0"/>
          <c:showSerName val="0"/>
          <c:showPercent val="0"/>
          <c:showBubbleSize val="0"/>
        </c:dLbls>
        <c:gapWidth val="219"/>
        <c:overlap val="-27"/>
        <c:axId val="1969279904"/>
        <c:axId val="1969288544"/>
      </c:barChart>
      <c:catAx>
        <c:axId val="19692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9288544"/>
        <c:crosses val="autoZero"/>
        <c:auto val="1"/>
        <c:lblAlgn val="ctr"/>
        <c:lblOffset val="100"/>
        <c:noMultiLvlLbl val="0"/>
      </c:catAx>
      <c:valAx>
        <c:axId val="196928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9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56116842253565"/>
          <c:y val="5.3333333333333337E-2"/>
          <c:w val="0.85153425901285185"/>
          <c:h val="0.46924794400699915"/>
        </c:manualLayout>
      </c:layout>
      <c:bar3DChart>
        <c:barDir val="col"/>
        <c:grouping val="clustered"/>
        <c:varyColors val="0"/>
        <c:ser>
          <c:idx val="0"/>
          <c:order val="0"/>
          <c:tx>
            <c:strRef>
              <c:f>'Trend Analysis'!$B$4</c:f>
              <c:strCache>
                <c:ptCount val="1"/>
                <c:pt idx="0">
                  <c:v>Total</c:v>
                </c:pt>
              </c:strCache>
            </c:strRef>
          </c:tx>
          <c:spPr>
            <a:solidFill>
              <a:schemeClr val="accent1">
                <a:lumMod val="20000"/>
                <a:lumOff val="80000"/>
              </a:schemeClr>
            </a:solidFill>
            <a:ln>
              <a:noFill/>
            </a:ln>
            <a:effectLst/>
            <a:sp3d/>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'Trend Analysis'!$A$5:$A$12</c:f>
              <c:strCache>
                <c:ptCount val="7"/>
                <c:pt idx="0">
                  <c:v>0.01-0.11</c:v>
                </c:pt>
                <c:pt idx="1">
                  <c:v>0.11-0.21</c:v>
                </c:pt>
                <c:pt idx="2">
                  <c:v>0.21-0.31</c:v>
                </c:pt>
                <c:pt idx="3">
                  <c:v>0.31-0.41</c:v>
                </c:pt>
                <c:pt idx="4">
                  <c:v>0.41-0.51</c:v>
                </c:pt>
                <c:pt idx="5">
                  <c:v>0.51-0.61</c:v>
                </c:pt>
                <c:pt idx="6">
                  <c:v>0.61-0.71</c:v>
                </c:pt>
              </c:strCache>
            </c:strRef>
          </c:cat>
          <c:val>
            <c:numRef>
              <c:f>'Trend Analysis'!$B$5:$B$12</c:f>
              <c:numCache>
                <c:formatCode>0</c:formatCode>
                <c:ptCount val="7"/>
                <c:pt idx="0">
                  <c:v>1.25</c:v>
                </c:pt>
                <c:pt idx="1">
                  <c:v>5</c:v>
                </c:pt>
                <c:pt idx="2">
                  <c:v>14.76923076923077</c:v>
                </c:pt>
                <c:pt idx="3">
                  <c:v>8.5294117647058822</c:v>
                </c:pt>
                <c:pt idx="4">
                  <c:v>5.375</c:v>
                </c:pt>
                <c:pt idx="5">
                  <c:v>8.4444444444444446</c:v>
                </c:pt>
                <c:pt idx="6">
                  <c:v>0</c:v>
                </c:pt>
              </c:numCache>
            </c:numRef>
          </c:val>
          <c:extLst>
            <c:ext xmlns:c16="http://schemas.microsoft.com/office/drawing/2014/chart" uri="{C3380CC4-5D6E-409C-BE32-E72D297353CC}">
              <c16:uniqueId val="{00000000-B79E-42AD-B747-C24976830FB6}"/>
            </c:ext>
          </c:extLst>
        </c:ser>
        <c:dLbls>
          <c:showLegendKey val="0"/>
          <c:showVal val="1"/>
          <c:showCatName val="0"/>
          <c:showSerName val="0"/>
          <c:showPercent val="0"/>
          <c:showBubbleSize val="0"/>
        </c:dLbls>
        <c:gapWidth val="154"/>
        <c:gapDepth val="0"/>
        <c:shape val="box"/>
        <c:axId val="69165584"/>
        <c:axId val="69174224"/>
        <c:axId val="0"/>
      </c:bar3DChart>
      <c:catAx>
        <c:axId val="691655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KE"/>
          </a:p>
        </c:txPr>
        <c:crossAx val="69174224"/>
        <c:crosses val="autoZero"/>
        <c:auto val="1"/>
        <c:lblAlgn val="ctr"/>
        <c:lblOffset val="100"/>
        <c:noMultiLvlLbl val="0"/>
      </c:catAx>
      <c:valAx>
        <c:axId val="691742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Avg. Rating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E"/>
          </a:p>
        </c:txPr>
        <c:crossAx val="691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9357614082024"/>
          <c:y val="5.0159997123647215E-2"/>
          <c:w val="0.86530568814033382"/>
          <c:h val="0.78437637076187394"/>
        </c:manualLayout>
      </c:layout>
      <c:lineChart>
        <c:grouping val="stacked"/>
        <c:varyColors val="0"/>
        <c:ser>
          <c:idx val="0"/>
          <c:order val="0"/>
          <c:tx>
            <c:strRef>
              <c:f>'Trend Analysis'!$B$15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'Trend Analysis'!$A$16:$A$20</c:f>
              <c:strCache>
                <c:ptCount val="4"/>
                <c:pt idx="0">
                  <c:v>0-1</c:v>
                </c:pt>
                <c:pt idx="1">
                  <c:v>2-3</c:v>
                </c:pt>
                <c:pt idx="2">
                  <c:v>3-4</c:v>
                </c:pt>
                <c:pt idx="3">
                  <c:v>4-5</c:v>
                </c:pt>
              </c:strCache>
            </c:strRef>
          </c:cat>
          <c:val>
            <c:numRef>
              <c:f>'Trend Analysis'!$B$16:$B$20</c:f>
              <c:numCache>
                <c:formatCode>0</c:formatCode>
                <c:ptCount val="4"/>
                <c:pt idx="0">
                  <c:v>0</c:v>
                </c:pt>
                <c:pt idx="1">
                  <c:v>169</c:v>
                </c:pt>
                <c:pt idx="2">
                  <c:v>69</c:v>
                </c:pt>
                <c:pt idx="3">
                  <c:v>483</c:v>
                </c:pt>
              </c:numCache>
            </c:numRef>
          </c:val>
          <c:smooth val="0"/>
          <c:extLst>
            <c:ext xmlns:c16="http://schemas.microsoft.com/office/drawing/2014/chart" uri="{C3380CC4-5D6E-409C-BE32-E72D297353CC}">
              <c16:uniqueId val="{00000000-FF57-4DFE-85A3-41A27F80100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62341248"/>
        <c:axId val="2062336928"/>
      </c:lineChart>
      <c:catAx>
        <c:axId val="2062341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KE"/>
          </a:p>
        </c:txPr>
        <c:crossAx val="2062336928"/>
        <c:crosses val="autoZero"/>
        <c:auto val="1"/>
        <c:lblAlgn val="ctr"/>
        <c:lblOffset val="100"/>
        <c:noMultiLvlLbl val="0"/>
      </c:catAx>
      <c:valAx>
        <c:axId val="206233692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0" sourceLinked="1"/>
        <c:majorTickMark val="none"/>
        <c:minorTickMark val="none"/>
        <c:tickLblPos val="nextTo"/>
        <c:crossAx val="2062341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Performance!PivotTable18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47901566976085E-2"/>
          <c:y val="8.7301587301587297E-2"/>
          <c:w val="0.92097932092484447"/>
          <c:h val="0.4469378827646544"/>
        </c:manualLayout>
      </c:layout>
      <c:barChart>
        <c:barDir val="col"/>
        <c:grouping val="clustered"/>
        <c:varyColors val="0"/>
        <c:ser>
          <c:idx val="0"/>
          <c:order val="0"/>
          <c:tx>
            <c:strRef>
              <c:f>'Production Performance'!$F$2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'Production Performance'!$E$3:$E$111</c:f>
              <c:strCache>
                <c:ptCount val="108"/>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pt idx="10">
                  <c:v>Agapeon Toothbrush Holder And Toothpaste Dispenser</c:v>
                </c:pt>
                <c:pt idx="11">
                  <c:v>Vic Wireless Vacuum Cleaner Dual Use For Home And Car 120W High Power Powerful</c:v>
                </c:pt>
                <c:pt idx="12">
                  <c:v>Intelligent  Led Body Sensor Wireless Lighting Night Light Usb</c:v>
                </c:pt>
                <c:pt idx="13">
                  <c:v>220V 60W Electric Soldering Iron Kits With Tools, Tips, And Multimeter</c:v>
                </c:pt>
                <c:pt idx="14">
                  <c:v>Foldable Overbed Table/Desk</c:v>
                </c:pt>
                <c:pt idx="15">
                  <c:v>Metal Decorative Hooks Key Hangers Entryway Wall Hooks Towel Hooks - Home</c:v>
                </c:pt>
                <c:pt idx="16">
                  <c:v>3Pcs Single Head Knitting Crochet Sweater Needle Set</c:v>
                </c:pt>
                <c:pt idx="17">
                  <c:v>12 Litre Black Insulated Lunch Box</c:v>
                </c:pt>
                <c:pt idx="18">
                  <c:v>5-Pcs Stainless Steel Cooking Pot Set With Steamed Slices</c:v>
                </c:pt>
                <c:pt idx="19">
                  <c:v>Genebre 115 In 1 Screwdriver Repairing Tool Set For Iphone Cellphone Hand Tool</c:v>
                </c:pt>
                <c:pt idx="20">
                  <c:v>Portable Wardrobe Nonwoven With 3 Hanging Rods And 6 Storage Shelves</c:v>
                </c:pt>
                <c:pt idx="21">
                  <c:v>40Cm Gold Diy Acrylic Wall Sticker Clock</c:v>
                </c:pt>
                <c:pt idx="22">
                  <c:v>12 Litre Insulated Lunch Box Grey</c:v>
                </c:pt>
                <c:pt idx="23">
                  <c:v>Mythco 120Cob Solar Wall Ligt With Motion Sensor And Remote Control 3 Modes</c:v>
                </c:pt>
                <c:pt idx="24">
                  <c:v>Multifunction Laser Level With Adjustment Tripod</c:v>
                </c:pt>
                <c:pt idx="25">
                  <c:v>Led Eye Protection  Desk Lamp , Study, Reading, Usb Fan - Double Pen Holder</c:v>
                </c:pt>
                <c:pt idx="26">
                  <c:v>Exfoliate And Exfoliate Face Towel - Black</c:v>
                </c:pt>
                <c:pt idx="27">
                  <c:v>Lasa 3 Tier Bamboo Shoe Bench Storage Shelf</c:v>
                </c:pt>
                <c:pt idx="28">
                  <c:v>Electric Led Uv Mosquito Killer Lamp, Outdoor/Indoor Fly Killer Trap Light -Usb</c:v>
                </c:pt>
                <c:pt idx="29">
                  <c:v>Weighing Scale Digital Bathroom Body Fat Scale Usb-Black</c:v>
                </c:pt>
                <c:pt idx="30">
                  <c:v>380Ml Usb Rechargeable Portable Small Blenders And Juicers</c:v>
                </c:pt>
                <c:pt idx="31">
                  <c:v>Artificial Potted Flowers Room Decorative Flowers (2 Pieces)</c:v>
                </c:pt>
                <c:pt idx="32">
                  <c:v>Lasa Digital Thermometer And Hydrometer</c:v>
                </c:pt>
                <c:pt idx="33">
                  <c:v>Led Romantic Spaceship Starry Sky Projector,Children'S Bedroom Night Light-Blue</c:v>
                </c:pt>
                <c:pt idx="34">
                  <c:v>7-Piece Set Of Storage Bags, Travel Storage Bags, Shoe Bags</c:v>
                </c:pt>
                <c:pt idx="35">
                  <c:v>5 Pieces/Set Of Stainless Steel Induction Cooker Pots</c:v>
                </c:pt>
                <c:pt idx="36">
                  <c:v>Watercolour Gold Foil Textured Print Pillow Cover</c:v>
                </c:pt>
                <c:pt idx="37">
                  <c:v>Large Lazy Inflatable Sofa Chairs Pvc Lounger Seat Bag</c:v>
                </c:pt>
                <c:pt idx="38">
                  <c:v>Lasa Folding Table Serving Stand</c:v>
                </c:pt>
                <c:pt idx="39">
                  <c:v>Led Wall Digital Alarm Clock Study Home 12 / 24H Clock Calendar</c:v>
                </c:pt>
                <c:pt idx="40">
                  <c:v>Portable Home Small Air Humidifier 3-Speed Fan - Green</c:v>
                </c:pt>
                <c:pt idx="41">
                  <c:v>32Pcs Portable Cordless Drill Set With Cyclic Battery Drive -26 Variable Speed</c:v>
                </c:pt>
                <c:pt idx="42">
                  <c:v>Wrought Iron Bathroom Shelf Wall Mounted Free Punch Toilet Rack</c:v>
                </c:pt>
                <c:pt idx="43">
                  <c:v>13 In 1 Home Repair Tools Box Kit Set</c:v>
                </c:pt>
                <c:pt idx="44">
                  <c:v>Lasa Aluminum Folding Truck Hand Cart - 68Kg Max</c:v>
                </c:pt>
                <c:pt idx="45">
                  <c:v>Classic Black Cat Cotton Hemp Pillow Case For Home Car</c:v>
                </c:pt>
                <c:pt idx="46">
                  <c:v>Anti-Skid Absorbent Insulation Coaster  For Home Office</c:v>
                </c:pt>
                <c:pt idx="47">
                  <c:v>115  Piece Set Of Multifunctional Precision Screwdrivers</c:v>
                </c:pt>
                <c:pt idx="48">
                  <c:v>Desk Foldable Fan Adjustable Fan Strong Wind 3 Gear Usb</c:v>
                </c:pt>
                <c:pt idx="49">
                  <c:v>Peacock  Throw Pillow Cushion Case For Home Car</c:v>
                </c:pt>
                <c:pt idx="50">
                  <c:v>Household Pineapple Peeler Peeler</c:v>
                </c:pt>
                <c:pt idx="51">
                  <c:v>Bedroom Simple Floor Hanging Clothes Rack Single Pole Hat Rack - White</c:v>
                </c:pt>
                <c:pt idx="52">
                  <c:v>Diy File Folder, Office Drawer File Holder, Pen Holder, Desktop Storage Rack</c:v>
                </c:pt>
                <c:pt idx="53">
                  <c:v>Memory Foam Neck Pillow Cover, With Pillow Core - 50*30Cm</c:v>
                </c:pt>
                <c:pt idx="54">
                  <c:v>Wall-Mounted Sticker Punch-Free Plug Fixer</c:v>
                </c:pt>
                <c:pt idx="55">
                  <c:v>Konka Healty Electric Kettle, 24-Hour Heat Preservation,1.5L,800W, White</c:v>
                </c:pt>
                <c:pt idx="56">
                  <c:v>2Pcs Ice Silk Square Cushion Cover Pillowcases - 65X65Cm</c:v>
                </c:pt>
                <c:pt idx="57">
                  <c:v>Multifunctional Hanging Storage Box Storage Bag (4 Layers)</c:v>
                </c:pt>
                <c:pt idx="58">
                  <c:v>Lasa Stainless Steel Double Wall Mount Soap Dispenser - 500Ml</c:v>
                </c:pt>
                <c:pt idx="59">
                  <c:v>Multifunctional Storage Rack Multi-Layer Bookshelf</c:v>
                </c:pt>
                <c:pt idx="60">
                  <c:v>6 In 1 Bottle Can Opener Multifunctional Easy Opener</c:v>
                </c:pt>
                <c:pt idx="61">
                  <c:v>Multi-Purpose Rice Drainage Basket And Fruit And Vegetable Drainage Sieve</c:v>
                </c:pt>
                <c:pt idx="62">
                  <c:v>Baby Early Education Shape And Color Cognitive Training Toys</c:v>
                </c:pt>
                <c:pt idx="63">
                  <c:v>Christmas Elk Fence Yard Lawn Decorations Cute For Holidays</c:v>
                </c:pt>
                <c:pt idx="64">
                  <c:v>12V 19500Rpm Handheld Electric Angle Grinder Tool - Uk - Yellow/Black</c:v>
                </c:pt>
                <c:pt idx="65">
                  <c:v>Office Chair Lumbar Back Support Spine Posture Correction Pillow Car Cushion</c:v>
                </c:pt>
                <c:pt idx="66">
                  <c:v>Cute Christmas Fence Garden Decorations For Holiday Home</c:v>
                </c:pt>
                <c:pt idx="67">
                  <c:v>Cartoon Embroidered Mini Towel Bear Cotton Wash Cloth Hand 4Pcs</c:v>
                </c:pt>
                <c:pt idx="68">
                  <c:v>8In1 Screwdriver With Led Light</c:v>
                </c:pt>
                <c:pt idx="69">
                  <c:v>7Pcs Silicone Thumb Knife Finger Protector Vegetable Harvesting Knife</c:v>
                </c:pt>
                <c:pt idx="70">
                  <c:v>6 Layers Steel Pipe Assembling Dustproof Storage Shoe Cabinet</c:v>
                </c:pt>
                <c:pt idx="71">
                  <c:v>Pen Grips For Kids Pen Grip Posture Correction Tool For Kids</c:v>
                </c:pt>
                <c:pt idx="72">
                  <c:v>4Pcs Bathroom/Kitchen Towel Rack,Roll Paper Holder,Towel Bars,Hook</c:v>
                </c:pt>
                <c:pt idx="73">
                  <c:v>Portable Soap Dispenser Kitchen Detergent Press Box Kitchen Tools</c:v>
                </c:pt>
                <c:pt idx="74">
                  <c:v>2Pcs Solar Street Light Flood Light Outdoor</c:v>
                </c:pt>
                <c:pt idx="75">
                  <c:v>Christmas Fence Garden Decorations Outdoor For Holiday Home</c:v>
                </c:pt>
                <c:pt idx="76">
                  <c:v>Modern Sofa Throw Pillow Cover-45X45Cm-Blue&amp;Red</c:v>
                </c:pt>
                <c:pt idx="77">
                  <c:v>Portable Wine Table With Folding Round Table</c:v>
                </c:pt>
                <c:pt idx="78">
                  <c:v>3Pcs Rotary Scraper Thermomix For Kitchen</c:v>
                </c:pt>
                <c:pt idx="79">
                  <c:v>2 Pairs Cowhide Split Leather Work Gloves.32Â„‰ Or Above Welding Gloves</c:v>
                </c:pt>
                <c:pt idx="80">
                  <c:v>9Pcs Gas Mask, For Painting, Dust, Formaldehyde Grinding, Polishing</c:v>
                </c:pt>
                <c:pt idx="81">
                  <c:v>Sewing Machine Needle Threader Stitch Insertion Tool Automatic Quick Sewing</c:v>
                </c:pt>
                <c:pt idx="82">
                  <c:v>24 Grid Wall-Mounted Sundries Organiser Fabric Closet Bag Storage Rack</c:v>
                </c:pt>
                <c:pt idx="83">
                  <c:v>Shower Cap Wide Elastic Band Cover Reusable Bashroom Cap</c:v>
                </c:pt>
                <c:pt idx="84">
                  <c:v>4 Piece Coloured Stainless Steel Kitchenware Set</c:v>
                </c:pt>
                <c:pt idx="85">
                  <c:v>Shower Nozzle Cleaning Unclogging Needle Mini Crevice Small Hole Cleaning Brush</c:v>
                </c:pt>
                <c:pt idx="86">
                  <c:v>Cartoon Car Decoration Cute Individuality For Car Home Desk</c:v>
                </c:pt>
                <c:pt idx="87">
                  <c:v>Simple Metal Dog Art Sculpture Decoration For Home Office</c:v>
                </c:pt>
                <c:pt idx="88">
                  <c:v>2Pcs/Lot Solar Led Outdoor Intelligent Light Controlled Wall Lamp</c:v>
                </c:pt>
                <c:pt idx="89">
                  <c:v>Thickening Multipurpose Non Stick Easy To Clean Heat Resistant Spoon Pad</c:v>
                </c:pt>
                <c:pt idx="90">
                  <c:v>4M Float Switch Water Level Controller -Water Tank</c:v>
                </c:pt>
                <c:pt idx="91">
                  <c:v>Wall Clock With Hidden Safe Box</c:v>
                </c:pt>
                <c:pt idx="92">
                  <c:v>Metal Wall Clock Silver Dial Crystal Jewelry Round Home Decoration Wall Clock</c:v>
                </c:pt>
                <c:pt idx="93">
                  <c:v>Wall Mount Automatic Toothpaste Dispenser Toothbrush Holder Toothpaste Squeezer</c:v>
                </c:pt>
                <c:pt idx="94">
                  <c:v>60W Hot Melt Glue Sprayer - Efficient And Stable Glue Dispensing</c:v>
                </c:pt>
                <c:pt idx="95">
                  <c:v>Car Phone Charging Stand</c:v>
                </c:pt>
                <c:pt idx="96">
                  <c:v>Pilates Cloth Bag Waterproof Durable High Capacity Purple</c:v>
                </c:pt>
                <c:pt idx="97">
                  <c:v>5M Waterproof Spherical Led String Lights Outdoor Ball Chain Lights Party Lighting Decoration Adjustable</c:v>
                </c:pt>
                <c:pt idx="98">
                  <c:v>Balloon Insert, Birthday Party Balloon Set, Pu Leather</c:v>
                </c:pt>
                <c:pt idx="99">
                  <c:v>1Pc Refrigerator Food Seal Pocket Fridge Bags</c:v>
                </c:pt>
                <c:pt idx="100">
                  <c:v>Black Simple Water Cup Wine Coaster Anti Slip Absorbent</c:v>
                </c:pt>
                <c:pt idx="101">
                  <c:v>Brush &amp; Paintbrush Cleaning Tool Pink</c:v>
                </c:pt>
                <c:pt idx="102">
                  <c:v>Cushion Silicone Butt Cushion Summer Ice Cushion Honeycomb Gel Cushion</c:v>
                </c:pt>
                <c:pt idx="103">
                  <c:v>Wall-Mounted Toothbrush Toothpaste Holder With Multiple Slots</c:v>
                </c:pt>
                <c:pt idx="104">
                  <c:v>Led Solar Street Light-Fake Camera</c:v>
                </c:pt>
                <c:pt idx="105">
                  <c:v>Angle Measuring Tool Full Metal Multi Angle Measuring Tool</c:v>
                </c:pt>
                <c:pt idx="106">
                  <c:v>Creative Owl Shape Keychain Black</c:v>
                </c:pt>
                <c:pt idx="107">
                  <c:v>Outdoor Portable Water Bottle With Medicine Box - 600Ml - Black</c:v>
                </c:pt>
              </c:strCache>
            </c:strRef>
          </c:cat>
          <c:val>
            <c:numRef>
              <c:f>'Production Performance'!$F$3:$F$111</c:f>
              <c:numCache>
                <c:formatCode>0</c:formatCode>
                <c:ptCount val="108"/>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extLst>
            <c:ext xmlns:c16="http://schemas.microsoft.com/office/drawing/2014/chart" uri="{C3380CC4-5D6E-409C-BE32-E72D297353CC}">
              <c16:uniqueId val="{00000000-CFB4-405C-A0A1-B7151E8FD377}"/>
            </c:ext>
          </c:extLst>
        </c:ser>
        <c:dLbls>
          <c:dLblPos val="inEnd"/>
          <c:showLegendKey val="0"/>
          <c:showVal val="1"/>
          <c:showCatName val="0"/>
          <c:showSerName val="0"/>
          <c:showPercent val="0"/>
          <c:showBubbleSize val="0"/>
        </c:dLbls>
        <c:gapWidth val="41"/>
        <c:axId val="1969279904"/>
        <c:axId val="1969288544"/>
      </c:barChart>
      <c:catAx>
        <c:axId val="196927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KE"/>
          </a:p>
        </c:txPr>
        <c:crossAx val="1969288544"/>
        <c:crosses val="autoZero"/>
        <c:auto val="1"/>
        <c:lblAlgn val="ctr"/>
        <c:lblOffset val="100"/>
        <c:noMultiLvlLbl val="0"/>
      </c:catAx>
      <c:valAx>
        <c:axId val="1969288544"/>
        <c:scaling>
          <c:orientation val="minMax"/>
        </c:scaling>
        <c:delete val="1"/>
        <c:axPos val="l"/>
        <c:numFmt formatCode="0" sourceLinked="1"/>
        <c:majorTickMark val="none"/>
        <c:minorTickMark val="none"/>
        <c:tickLblPos val="nextTo"/>
        <c:crossAx val="1969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7656053862833"/>
          <c:y val="3.9092666797433236E-2"/>
          <c:w val="0.85062238959260528"/>
          <c:h val="0.57056182923753751"/>
        </c:manualLayout>
      </c:layout>
      <c:barChart>
        <c:barDir val="col"/>
        <c:grouping val="clustered"/>
        <c:varyColors val="0"/>
        <c:ser>
          <c:idx val="0"/>
          <c:order val="0"/>
          <c:tx>
            <c:strRef>
              <c:f>'Production Performance'!$B$2</c:f>
              <c:strCache>
                <c:ptCount val="1"/>
                <c:pt idx="0">
                  <c:v>Total</c:v>
                </c:pt>
              </c:strCache>
            </c:strRef>
          </c:tx>
          <c:spPr>
            <a:solidFill>
              <a:schemeClr val="accent1"/>
            </a:solidFill>
            <a:ln>
              <a:noFill/>
            </a:ln>
            <a:effectLst/>
          </c:spPr>
          <c:invertIfNegative val="0"/>
          <c:cat>
            <c:strRef>
              <c:f>'Production Performance'!$A$3:$A$111</c:f>
              <c:strCache>
                <c:ptCount val="108"/>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pt idx="10">
                  <c:v>13 In 1 Home Repair Tools Box Kit Set</c:v>
                </c:pt>
                <c:pt idx="11">
                  <c:v>2Pcs Ice Silk Square Cushion Cover Pillowcases - 65X65Cm</c:v>
                </c:pt>
                <c:pt idx="12">
                  <c:v>Portable Wine Table With Folding Round Table</c:v>
                </c:pt>
                <c:pt idx="13">
                  <c:v>Diy File Folder, Office Drawer File Holder, Pen Holder, Desktop Storage Rack</c:v>
                </c:pt>
                <c:pt idx="14">
                  <c:v>12V 19500Rpm Handheld Electric Angle Grinder Tool - Uk - Yellow/Black</c:v>
                </c:pt>
                <c:pt idx="15">
                  <c:v>Memory Foam Neck Pillow Cover, With Pillow Core - 50*30Cm</c:v>
                </c:pt>
                <c:pt idx="16">
                  <c:v>Christmas Elk Fence Yard Lawn Decorations Cute For Holidays</c:v>
                </c:pt>
                <c:pt idx="17">
                  <c:v>9Pcs Gas Mask, For Painting, Dust, Formaldehyde Grinding, Polishing</c:v>
                </c:pt>
                <c:pt idx="18">
                  <c:v>380Ml Usb Rechargeable Portable Small Blenders And Juicers</c:v>
                </c:pt>
                <c:pt idx="19">
                  <c:v>3D Waterproof Eva Plastic Shower Curtain 1.8*2Mtrs</c:v>
                </c:pt>
                <c:pt idx="20">
                  <c:v>Konka Healty Electric Kettle, 24-Hour Heat Preservation,1.5L,800W, White</c:v>
                </c:pt>
                <c:pt idx="21">
                  <c:v>Bedroom Simple Floor Hanging Clothes Rack Single Pole Hat Rack - White</c:v>
                </c:pt>
                <c:pt idx="22">
                  <c:v>Large Lazy Inflatable Sofa Chairs Pvc Lounger Seat Bag</c:v>
                </c:pt>
                <c:pt idx="23">
                  <c:v>Weighing Scale Digital Bathroom Body Fat Scale Usb-Black</c:v>
                </c:pt>
                <c:pt idx="24">
                  <c:v>Wall Clock With Hidden Safe Box</c:v>
                </c:pt>
                <c:pt idx="25">
                  <c:v>7-Piece Set Of Storage Bags, Travel Storage Bags, Shoe Bags</c:v>
                </c:pt>
                <c:pt idx="26">
                  <c:v>5M Waterproof Spherical Led String Lights Outdoor Ball Chain Lights Party Lighting Decoration Adjustable</c:v>
                </c:pt>
                <c:pt idx="27">
                  <c:v>Artificial Potted Flowers Room Decorative Flowers (2 Pieces)</c:v>
                </c:pt>
                <c:pt idx="28">
                  <c:v>Multifunction Laser Level With Adjustment Tripod</c:v>
                </c:pt>
                <c:pt idx="29">
                  <c:v>6 Layers Steel Pipe Assembling Dustproof Storage Shoe Cabinet</c:v>
                </c:pt>
                <c:pt idx="30">
                  <c:v>8In1 Screwdriver With Led Light</c:v>
                </c:pt>
                <c:pt idx="31">
                  <c:v>Angle Measuring Tool Full Metal Multi Angle Measuring Tool</c:v>
                </c:pt>
                <c:pt idx="32">
                  <c:v>2Pcs Solar Street Light Flood Light Outdoor</c:v>
                </c:pt>
                <c:pt idx="33">
                  <c:v>52 Pieces Cake Decorating Tool Set Gift Kit Baking Supplies</c:v>
                </c:pt>
                <c:pt idx="34">
                  <c:v>Portable Mini Cordless Car Vacuum Cleaner - Blue</c:v>
                </c:pt>
                <c:pt idx="35">
                  <c:v>53 Pieces/Set Yarn Knitting Crochet Hooks With Bag - Pansies</c:v>
                </c:pt>
                <c:pt idx="36">
                  <c:v>137 Pieces Cake Decorating Tool Set Baking Supplies</c:v>
                </c:pt>
                <c:pt idx="37">
                  <c:v>53Pcs/Set Yarn Knitting Crochet Hooks With Bag - Fortune Cat</c:v>
                </c:pt>
                <c:pt idx="38">
                  <c:v>Led Wall Digital Alarm Clock Study Home 12 / 24H Clock Calendar</c:v>
                </c:pt>
                <c:pt idx="39">
                  <c:v>2Pcs/Lot Solar Led Outdoor Intelligent Light Controlled Wall Lamp</c:v>
                </c:pt>
                <c:pt idx="40">
                  <c:v>Car Phone Charging Stand</c:v>
                </c:pt>
                <c:pt idx="41">
                  <c:v>Christmas Fence Garden Decorations Outdoor For Holiday Home</c:v>
                </c:pt>
                <c:pt idx="42">
                  <c:v>Portable Wardrobe Nonwoven With 3 Hanging Rods And 6 Storage Shelves</c:v>
                </c:pt>
                <c:pt idx="43">
                  <c:v>12 Litre Black Insulated Lunch Box</c:v>
                </c:pt>
                <c:pt idx="44">
                  <c:v>Cartoon Embroidered Mini Towel Bear Cotton Wash Cloth Hand 4Pcs</c:v>
                </c:pt>
                <c:pt idx="45">
                  <c:v>Portable Home Small Air Humidifier 3-Speed Fan - Green</c:v>
                </c:pt>
                <c:pt idx="46">
                  <c:v>60W Hot Melt Glue Sprayer - Efficient And Stable Glue Dispensing</c:v>
                </c:pt>
                <c:pt idx="47">
                  <c:v>Desk Foldable Fan Adjustable Fan Strong Wind 3 Gear Usb</c:v>
                </c:pt>
                <c:pt idx="48">
                  <c:v>Led Solar Street Light-Fake Camera</c:v>
                </c:pt>
                <c:pt idx="49">
                  <c:v>115  Piece Set Of Multifunctional Precision Screwdrivers</c:v>
                </c:pt>
                <c:pt idx="50">
                  <c:v>Cute Christmas Fence Garden Decorations For Holiday Home</c:v>
                </c:pt>
                <c:pt idx="51">
                  <c:v>Mythco 120Cob Solar Wall Ligt With Motion Sensor And Remote Control 3 Modes</c:v>
                </c:pt>
                <c:pt idx="52">
                  <c:v>3Pcs Rotary Scraper Thermomix For Kitchen</c:v>
                </c:pt>
                <c:pt idx="53">
                  <c:v>100 Pcs Crochet Hook Tool Set Knitting Hook Set With Box</c:v>
                </c:pt>
                <c:pt idx="54">
                  <c:v>12 Litre Insulated Lunch Box Grey</c:v>
                </c:pt>
                <c:pt idx="55">
                  <c:v>Baby Early Education Shape And Color Cognitive Training Toys</c:v>
                </c:pt>
                <c:pt idx="56">
                  <c:v>Foldable Overbed Table/Desk</c:v>
                </c:pt>
                <c:pt idx="57">
                  <c:v>40Cm Gold Diy Acrylic Wall Sticker Clock</c:v>
                </c:pt>
                <c:pt idx="58">
                  <c:v>Metal Decorative Hooks Key Hangers Entryway Wall Hooks Towel Hooks - Home</c:v>
                </c:pt>
                <c:pt idx="59">
                  <c:v>Led Romantic Spaceship Starry Sky Projector,Children'S Bedroom Night Light-Blue</c:v>
                </c:pt>
                <c:pt idx="60">
                  <c:v>Multifunctional Hanging Storage Box Storage Bag (4 Layers)</c:v>
                </c:pt>
                <c:pt idx="61">
                  <c:v>4M Float Switch Water Level Controller -Water Tank</c:v>
                </c:pt>
                <c:pt idx="62">
                  <c:v>Wall-Mounted Sticker Punch-Free Plug Fixer</c:v>
                </c:pt>
                <c:pt idx="63">
                  <c:v>Balloon Insert, Birthday Party Balloon Set, Pu Leather</c:v>
                </c:pt>
                <c:pt idx="64">
                  <c:v>120W Cordless Vacuum Cleaners Handheld Electric Vacuum Cleaner</c:v>
                </c:pt>
                <c:pt idx="65">
                  <c:v>Simple Metal Dog Art Sculpture Decoration For Home Office</c:v>
                </c:pt>
                <c:pt idx="66">
                  <c:v>Wrought Iron Bathroom Shelf Wall Mounted Free Punch Toilet Rack</c:v>
                </c:pt>
                <c:pt idx="67">
                  <c:v>Lasa Digital Thermometer And Hydrometer</c:v>
                </c:pt>
                <c:pt idx="68">
                  <c:v>Intelligent  Led Body Sensor Wireless Lighting Night Light Usb</c:v>
                </c:pt>
                <c:pt idx="69">
                  <c:v>6 In 1 Bottle Can Opener Multifunctional Easy Opener</c:v>
                </c:pt>
                <c:pt idx="70">
                  <c:v>Anti-Skid Absorbent Insulation Coaster  For Home Office</c:v>
                </c:pt>
                <c:pt idx="71">
                  <c:v>Vic Wireless Vacuum Cleaner Dual Use For Home And Car 120W High Power Powerful</c:v>
                </c:pt>
                <c:pt idx="72">
                  <c:v>5 Pieces/Set Of Stainless Steel Induction Cooker Pots</c:v>
                </c:pt>
                <c:pt idx="73">
                  <c:v>Agapeon Toothbrush Holder And Toothpaste Dispenser</c:v>
                </c:pt>
                <c:pt idx="74">
                  <c:v>Household Pineapple Peeler Peeler</c:v>
                </c:pt>
                <c:pt idx="75">
                  <c:v>Creative Owl Shape Keychain Black</c:v>
                </c:pt>
                <c:pt idx="76">
                  <c:v>Brush &amp; Paintbrush Cleaning Tool Pink</c:v>
                </c:pt>
                <c:pt idx="77">
                  <c:v>220V 60W Electric Soldering Iron Kits With Tools, Tips, And Multimeter</c:v>
                </c:pt>
                <c:pt idx="78">
                  <c:v>Punch-Free Great Load Bearing Bathroom Storage Rack Wall Shelf-White</c:v>
                </c:pt>
                <c:pt idx="79">
                  <c:v>Cartoon Car Decoration Cute Individuality For Car Home Desk</c:v>
                </c:pt>
                <c:pt idx="80">
                  <c:v>Watercolour Gold Foil Textured Print Pillow Cover</c:v>
                </c:pt>
                <c:pt idx="81">
                  <c:v>4 Piece Coloured Stainless Steel Kitchenware Set</c:v>
                </c:pt>
                <c:pt idx="82">
                  <c:v>Modern Sofa Throw Pillow Cover-45X45Cm-Blue&amp;Red</c:v>
                </c:pt>
                <c:pt idx="83">
                  <c:v>Office Chair Lumbar Back Support Spine Posture Correction Pillow Car Cushion</c:v>
                </c:pt>
                <c:pt idx="84">
                  <c:v>Wall-Mounted Toothbrush Toothpaste Holder With Multiple Slots</c:v>
                </c:pt>
                <c:pt idx="85">
                  <c:v>Electronic Digital Display Vernier Caliper</c:v>
                </c:pt>
                <c:pt idx="86">
                  <c:v>7Pcs Silicone Thumb Knife Finger Protector Vegetable Harvesting Knife</c:v>
                </c:pt>
                <c:pt idx="87">
                  <c:v>Genebre 115 In 1 Screwdriver Repairing Tool Set For Iphone Cellphone Hand Tool</c:v>
                </c:pt>
                <c:pt idx="88">
                  <c:v>Exfoliate And Exfoliate Face Towel - Black</c:v>
                </c:pt>
                <c:pt idx="89">
                  <c:v>Classic Black Cat Cotton Hemp Pillow Case For Home Car</c:v>
                </c:pt>
                <c:pt idx="90">
                  <c:v>Peacock  Throw Pillow Cushion Case For Home Car</c:v>
                </c:pt>
                <c:pt idx="91">
                  <c:v>Metal Wall Clock Silver Dial Crystal Jewelry Round Home Decoration Wall Clock</c:v>
                </c:pt>
                <c:pt idx="92">
                  <c:v>Black Simple Water Cup Wine Coaster Anti Slip Absorbent</c:v>
                </c:pt>
                <c:pt idx="93">
                  <c:v>Wall Mount Automatic Toothpaste Dispenser Toothbrush Holder Toothpaste Squeezer</c:v>
                </c:pt>
                <c:pt idx="94">
                  <c:v>Outdoor Portable Water Bottle With Medicine Box - 600Ml - Black</c:v>
                </c:pt>
                <c:pt idx="95">
                  <c:v>Sewing Machine Needle Threader Stitch Insertion Tool Automatic Quick Sewing</c:v>
                </c:pt>
                <c:pt idx="96">
                  <c:v>Pilates Cloth Bag Waterproof Durable High Capacity Purple</c:v>
                </c:pt>
                <c:pt idx="97">
                  <c:v>Cushion Silicone Butt Cushion Summer Ice Cushion Honeycomb Gel Cushion</c:v>
                </c:pt>
                <c:pt idx="98">
                  <c:v>1Pc Refrigerator Food Seal Pocket Fridge Bags</c:v>
                </c:pt>
                <c:pt idx="99">
                  <c:v>3Pcs Single Head Knitting Crochet Sweater Needle Set</c:v>
                </c:pt>
                <c:pt idx="100">
                  <c:v>Shower Nozzle Cleaning Unclogging Needle Mini Crevice Small Hole Cleaning Brush</c:v>
                </c:pt>
                <c:pt idx="101">
                  <c:v>Multi-Purpose Rice Drainage Basket And Fruit And Vegetable Drainage Sieve</c:v>
                </c:pt>
                <c:pt idx="102">
                  <c:v>Pen Grips For Kids Pen Grip Posture Correction Tool For Kids</c:v>
                </c:pt>
                <c:pt idx="103">
                  <c:v>Shower Cap Wide Elastic Band Cover Reusable Bashroom Cap</c:v>
                </c:pt>
                <c:pt idx="104">
                  <c:v>Portable Soap Dispenser Kitchen Detergent Press Box Kitchen Tools</c:v>
                </c:pt>
                <c:pt idx="105">
                  <c:v>2 Pairs Cowhide Split Leather Work Gloves.32Â„‰ Or Above Welding Gloves</c:v>
                </c:pt>
                <c:pt idx="106">
                  <c:v>Thickening Multipurpose Non Stick Easy To Clean Heat Resistant Spoon Pad</c:v>
                </c:pt>
                <c:pt idx="107">
                  <c:v>24 Grid Wall-Mounted Sundries Organiser Fabric Closet Bag Storage Rack</c:v>
                </c:pt>
              </c:strCache>
            </c:strRef>
          </c:cat>
          <c:val>
            <c:numRef>
              <c:f>'Production Performance'!$B$3:$B$111</c:f>
              <c:numCache>
                <c:formatCode>General</c:formatCode>
                <c:ptCount val="108"/>
                <c:pt idx="0">
                  <c:v>2585</c:v>
                </c:pt>
                <c:pt idx="1">
                  <c:v>2452</c:v>
                </c:pt>
                <c:pt idx="2">
                  <c:v>2393</c:v>
                </c:pt>
                <c:pt idx="3">
                  <c:v>1946</c:v>
                </c:pt>
                <c:pt idx="4">
                  <c:v>1880</c:v>
                </c:pt>
                <c:pt idx="5">
                  <c:v>1721</c:v>
                </c:pt>
                <c:pt idx="6">
                  <c:v>1670</c:v>
                </c:pt>
                <c:pt idx="7">
                  <c:v>1526</c:v>
                </c:pt>
                <c:pt idx="8">
                  <c:v>1418</c:v>
                </c:pt>
                <c:pt idx="9">
                  <c:v>1360</c:v>
                </c:pt>
                <c:pt idx="10">
                  <c:v>1329</c:v>
                </c:pt>
                <c:pt idx="11">
                  <c:v>1200</c:v>
                </c:pt>
                <c:pt idx="12">
                  <c:v>1200</c:v>
                </c:pt>
                <c:pt idx="13">
                  <c:v>1070</c:v>
                </c:pt>
                <c:pt idx="14">
                  <c:v>1011</c:v>
                </c:pt>
                <c:pt idx="15">
                  <c:v>1010</c:v>
                </c:pt>
                <c:pt idx="16">
                  <c:v>1001</c:v>
                </c:pt>
                <c:pt idx="17">
                  <c:v>1000</c:v>
                </c:pt>
                <c:pt idx="18">
                  <c:v>1000</c:v>
                </c:pt>
                <c:pt idx="19">
                  <c:v>968</c:v>
                </c:pt>
                <c:pt idx="20">
                  <c:v>948</c:v>
                </c:pt>
                <c:pt idx="21">
                  <c:v>941</c:v>
                </c:pt>
                <c:pt idx="22">
                  <c:v>940</c:v>
                </c:pt>
                <c:pt idx="23">
                  <c:v>919</c:v>
                </c:pt>
                <c:pt idx="24">
                  <c:v>850</c:v>
                </c:pt>
                <c:pt idx="25">
                  <c:v>846</c:v>
                </c:pt>
                <c:pt idx="26">
                  <c:v>830</c:v>
                </c:pt>
                <c:pt idx="27">
                  <c:v>824</c:v>
                </c:pt>
                <c:pt idx="28">
                  <c:v>819</c:v>
                </c:pt>
                <c:pt idx="29">
                  <c:v>800</c:v>
                </c:pt>
                <c:pt idx="30">
                  <c:v>794</c:v>
                </c:pt>
                <c:pt idx="31">
                  <c:v>768</c:v>
                </c:pt>
                <c:pt idx="32">
                  <c:v>750</c:v>
                </c:pt>
                <c:pt idx="33">
                  <c:v>741</c:v>
                </c:pt>
                <c:pt idx="34">
                  <c:v>724</c:v>
                </c:pt>
                <c:pt idx="35">
                  <c:v>719</c:v>
                </c:pt>
                <c:pt idx="36">
                  <c:v>713</c:v>
                </c:pt>
                <c:pt idx="37">
                  <c:v>710</c:v>
                </c:pt>
                <c:pt idx="38">
                  <c:v>700</c:v>
                </c:pt>
                <c:pt idx="39">
                  <c:v>695</c:v>
                </c:pt>
                <c:pt idx="40">
                  <c:v>645</c:v>
                </c:pt>
                <c:pt idx="41">
                  <c:v>644</c:v>
                </c:pt>
                <c:pt idx="42">
                  <c:v>640</c:v>
                </c:pt>
                <c:pt idx="43">
                  <c:v>640</c:v>
                </c:pt>
                <c:pt idx="44">
                  <c:v>620</c:v>
                </c:pt>
                <c:pt idx="45">
                  <c:v>616</c:v>
                </c:pt>
                <c:pt idx="46">
                  <c:v>595</c:v>
                </c:pt>
                <c:pt idx="47">
                  <c:v>592</c:v>
                </c:pt>
                <c:pt idx="48">
                  <c:v>587</c:v>
                </c:pt>
                <c:pt idx="49">
                  <c:v>575</c:v>
                </c:pt>
                <c:pt idx="50">
                  <c:v>544</c:v>
                </c:pt>
                <c:pt idx="51">
                  <c:v>528</c:v>
                </c:pt>
                <c:pt idx="52">
                  <c:v>510</c:v>
                </c:pt>
                <c:pt idx="53">
                  <c:v>510</c:v>
                </c:pt>
                <c:pt idx="54">
                  <c:v>510</c:v>
                </c:pt>
                <c:pt idx="55">
                  <c:v>504</c:v>
                </c:pt>
                <c:pt idx="56">
                  <c:v>500</c:v>
                </c:pt>
                <c:pt idx="57">
                  <c:v>483</c:v>
                </c:pt>
                <c:pt idx="58">
                  <c:v>472</c:v>
                </c:pt>
                <c:pt idx="59">
                  <c:v>470</c:v>
                </c:pt>
                <c:pt idx="60">
                  <c:v>470</c:v>
                </c:pt>
                <c:pt idx="61">
                  <c:v>456</c:v>
                </c:pt>
                <c:pt idx="62">
                  <c:v>450</c:v>
                </c:pt>
                <c:pt idx="63">
                  <c:v>450</c:v>
                </c:pt>
                <c:pt idx="64">
                  <c:v>428</c:v>
                </c:pt>
                <c:pt idx="65">
                  <c:v>401</c:v>
                </c:pt>
                <c:pt idx="66">
                  <c:v>390</c:v>
                </c:pt>
                <c:pt idx="67">
                  <c:v>359</c:v>
                </c:pt>
                <c:pt idx="68">
                  <c:v>355</c:v>
                </c:pt>
                <c:pt idx="69">
                  <c:v>354</c:v>
                </c:pt>
                <c:pt idx="70">
                  <c:v>352</c:v>
                </c:pt>
                <c:pt idx="71">
                  <c:v>335</c:v>
                </c:pt>
                <c:pt idx="72">
                  <c:v>330</c:v>
                </c:pt>
                <c:pt idx="73">
                  <c:v>318</c:v>
                </c:pt>
                <c:pt idx="74">
                  <c:v>317</c:v>
                </c:pt>
                <c:pt idx="75">
                  <c:v>305</c:v>
                </c:pt>
                <c:pt idx="76">
                  <c:v>301</c:v>
                </c:pt>
                <c:pt idx="77">
                  <c:v>291</c:v>
                </c:pt>
                <c:pt idx="78">
                  <c:v>267</c:v>
                </c:pt>
                <c:pt idx="79">
                  <c:v>263</c:v>
                </c:pt>
                <c:pt idx="80">
                  <c:v>257</c:v>
                </c:pt>
                <c:pt idx="81">
                  <c:v>238</c:v>
                </c:pt>
                <c:pt idx="82">
                  <c:v>238</c:v>
                </c:pt>
                <c:pt idx="83">
                  <c:v>233</c:v>
                </c:pt>
                <c:pt idx="84">
                  <c:v>231</c:v>
                </c:pt>
                <c:pt idx="85">
                  <c:v>227</c:v>
                </c:pt>
                <c:pt idx="86">
                  <c:v>220</c:v>
                </c:pt>
                <c:pt idx="87">
                  <c:v>200</c:v>
                </c:pt>
                <c:pt idx="88">
                  <c:v>197</c:v>
                </c:pt>
                <c:pt idx="89">
                  <c:v>189</c:v>
                </c:pt>
                <c:pt idx="90">
                  <c:v>165</c:v>
                </c:pt>
                <c:pt idx="91">
                  <c:v>153</c:v>
                </c:pt>
                <c:pt idx="92">
                  <c:v>151</c:v>
                </c:pt>
                <c:pt idx="93">
                  <c:v>134</c:v>
                </c:pt>
                <c:pt idx="94">
                  <c:v>101</c:v>
                </c:pt>
                <c:pt idx="95">
                  <c:v>95</c:v>
                </c:pt>
                <c:pt idx="96">
                  <c:v>85</c:v>
                </c:pt>
                <c:pt idx="97">
                  <c:v>67</c:v>
                </c:pt>
                <c:pt idx="98">
                  <c:v>62</c:v>
                </c:pt>
                <c:pt idx="99">
                  <c:v>42</c:v>
                </c:pt>
                <c:pt idx="100">
                  <c:v>41</c:v>
                </c:pt>
                <c:pt idx="101">
                  <c:v>40</c:v>
                </c:pt>
                <c:pt idx="102">
                  <c:v>39</c:v>
                </c:pt>
                <c:pt idx="103">
                  <c:v>37</c:v>
                </c:pt>
                <c:pt idx="104">
                  <c:v>37</c:v>
                </c:pt>
                <c:pt idx="105">
                  <c:v>33</c:v>
                </c:pt>
                <c:pt idx="106">
                  <c:v>31</c:v>
                </c:pt>
                <c:pt idx="107">
                  <c:v>24</c:v>
                </c:pt>
              </c:numCache>
            </c:numRef>
          </c:val>
          <c:extLst>
            <c:ext xmlns:c16="http://schemas.microsoft.com/office/drawing/2014/chart" uri="{C3380CC4-5D6E-409C-BE32-E72D297353CC}">
              <c16:uniqueId val="{00000000-D60F-4C8C-A3BE-E2CC7ECFA757}"/>
            </c:ext>
          </c:extLst>
        </c:ser>
        <c:dLbls>
          <c:showLegendKey val="0"/>
          <c:showVal val="0"/>
          <c:showCatName val="0"/>
          <c:showSerName val="0"/>
          <c:showPercent val="0"/>
          <c:showBubbleSize val="0"/>
        </c:dLbls>
        <c:gapWidth val="219"/>
        <c:overlap val="-27"/>
        <c:axId val="1967863936"/>
        <c:axId val="1967864896"/>
      </c:barChart>
      <c:catAx>
        <c:axId val="196786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4896"/>
        <c:crosses val="autoZero"/>
        <c:auto val="1"/>
        <c:lblAlgn val="ctr"/>
        <c:lblOffset val="100"/>
        <c:noMultiLvlLbl val="0"/>
      </c:catAx>
      <c:valAx>
        <c:axId val="1967864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0230279856993"/>
          <c:y val="7.9136690647482008E-2"/>
          <c:w val="0.53090502576066878"/>
          <c:h val="0.6755157763552937"/>
        </c:manualLayout>
      </c:layout>
      <c:barChart>
        <c:barDir val="col"/>
        <c:grouping val="clustered"/>
        <c:varyColors val="0"/>
        <c:ser>
          <c:idx val="0"/>
          <c:order val="0"/>
          <c:tx>
            <c:strRef>
              <c:f>'Trend Analysis'!$H$36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'Trend Analysis'!$G$37:$G$44</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'Trend Analysis'!$H$37:$H$44</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BD9D-4896-BC81-C1754276F433}"/>
            </c:ext>
          </c:extLst>
        </c:ser>
        <c:dLbls>
          <c:dLblPos val="inEnd"/>
          <c:showLegendKey val="0"/>
          <c:showVal val="1"/>
          <c:showCatName val="0"/>
          <c:showSerName val="0"/>
          <c:showPercent val="0"/>
          <c:showBubbleSize val="0"/>
        </c:dLbls>
        <c:gapWidth val="164"/>
        <c:overlap val="-22"/>
        <c:axId val="1272352112"/>
        <c:axId val="1272354512"/>
      </c:barChart>
      <c:catAx>
        <c:axId val="12723521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4512"/>
        <c:crosses val="autoZero"/>
        <c:auto val="1"/>
        <c:lblAlgn val="ctr"/>
        <c:lblOffset val="100"/>
        <c:noMultiLvlLbl val="0"/>
      </c:catAx>
      <c:valAx>
        <c:axId val="127235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hyperlink" Target="#CleanedData!A1"/><Relationship Id="rId10" Type="http://schemas.openxmlformats.org/officeDocument/2006/relationships/chart" Target="../charts/chart10.xml"/><Relationship Id="rId4" Type="http://schemas.openxmlformats.org/officeDocument/2006/relationships/hyperlink" Target="#'Trend Analysis'!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15875</xdr:colOff>
      <xdr:row>2</xdr:row>
      <xdr:rowOff>60325</xdr:rowOff>
    </xdr:from>
    <xdr:to>
      <xdr:col>9</xdr:col>
      <xdr:colOff>1035050</xdr:colOff>
      <xdr:row>12</xdr:row>
      <xdr:rowOff>0</xdr:rowOff>
    </xdr:to>
    <xdr:graphicFrame macro="">
      <xdr:nvGraphicFramePr>
        <xdr:cNvPr id="4" name="Chart 3">
          <a:extLst>
            <a:ext uri="{FF2B5EF4-FFF2-40B4-BE49-F238E27FC236}">
              <a16:creationId xmlns:a16="http://schemas.microsoft.com/office/drawing/2014/main" id="{A4D34955-ECF9-71B4-7047-4A3A83DCA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0</xdr:row>
      <xdr:rowOff>19050</xdr:rowOff>
    </xdr:from>
    <xdr:to>
      <xdr:col>1</xdr:col>
      <xdr:colOff>1079500</xdr:colOff>
      <xdr:row>1</xdr:row>
      <xdr:rowOff>133350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2E5F48DF-1A63-CE4F-28B3-194B0FF15E06}"/>
            </a:ext>
          </a:extLst>
        </xdr:cNvPr>
        <xdr:cNvSpPr/>
      </xdr:nvSpPr>
      <xdr:spPr>
        <a:xfrm>
          <a:off x="107950" y="19050"/>
          <a:ext cx="184150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endParaRPr lang="en-KE" sz="1100"/>
        </a:p>
      </xdr:txBody>
    </xdr:sp>
    <xdr:clientData/>
  </xdr:twoCellAnchor>
  <xdr:twoCellAnchor>
    <xdr:from>
      <xdr:col>10</xdr:col>
      <xdr:colOff>244475</xdr:colOff>
      <xdr:row>6</xdr:row>
      <xdr:rowOff>82550</xdr:rowOff>
    </xdr:from>
    <xdr:to>
      <xdr:col>20</xdr:col>
      <xdr:colOff>241300</xdr:colOff>
      <xdr:row>19</xdr:row>
      <xdr:rowOff>69850</xdr:rowOff>
    </xdr:to>
    <xdr:graphicFrame macro="">
      <xdr:nvGraphicFramePr>
        <xdr:cNvPr id="6" name="Chart 5">
          <a:extLst>
            <a:ext uri="{FF2B5EF4-FFF2-40B4-BE49-F238E27FC236}">
              <a16:creationId xmlns:a16="http://schemas.microsoft.com/office/drawing/2014/main" id="{1A5DD230-60DA-39D6-556A-D274AEFAF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393700</xdr:colOff>
      <xdr:row>27</xdr:row>
      <xdr:rowOff>82550</xdr:rowOff>
    </xdr:from>
    <xdr:to>
      <xdr:col>23</xdr:col>
      <xdr:colOff>38100</xdr:colOff>
      <xdr:row>42</xdr:row>
      <xdr:rowOff>63500</xdr:rowOff>
    </xdr:to>
    <xdr:graphicFrame macro="">
      <xdr:nvGraphicFramePr>
        <xdr:cNvPr id="11" name="Chart 10">
          <a:extLst>
            <a:ext uri="{FF2B5EF4-FFF2-40B4-BE49-F238E27FC236}">
              <a16:creationId xmlns:a16="http://schemas.microsoft.com/office/drawing/2014/main" id="{95095E32-AB7A-CE38-68F5-4BF76BD30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1012825</xdr:colOff>
      <xdr:row>5</xdr:row>
      <xdr:rowOff>28575</xdr:rowOff>
    </xdr:from>
    <xdr:to>
      <xdr:col>2</xdr:col>
      <xdr:colOff>130175</xdr:colOff>
      <xdr:row>20</xdr:row>
      <xdr:rowOff>9525</xdr:rowOff>
    </xdr:to>
    <xdr:graphicFrame macro="">
      <xdr:nvGraphicFramePr>
        <xdr:cNvPr id="2" name="Chart 1">
          <a:extLst>
            <a:ext uri="{FF2B5EF4-FFF2-40B4-BE49-F238E27FC236}">
              <a16:creationId xmlns:a16="http://schemas.microsoft.com/office/drawing/2014/main" id="{5A8569B0-3EB0-1C85-9EA4-C0CAC9AFC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4</xdr:row>
      <xdr:rowOff>92075</xdr:rowOff>
    </xdr:from>
    <xdr:to>
      <xdr:col>5</xdr:col>
      <xdr:colOff>200025</xdr:colOff>
      <xdr:row>19</xdr:row>
      <xdr:rowOff>73025</xdr:rowOff>
    </xdr:to>
    <xdr:graphicFrame macro="">
      <xdr:nvGraphicFramePr>
        <xdr:cNvPr id="3" name="Chart 2">
          <a:extLst>
            <a:ext uri="{FF2B5EF4-FFF2-40B4-BE49-F238E27FC236}">
              <a16:creationId xmlns:a16="http://schemas.microsoft.com/office/drawing/2014/main" id="{8F6A1AA0-ED50-8D38-CDD2-1B35B89BB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69850</xdr:colOff>
      <xdr:row>32</xdr:row>
      <xdr:rowOff>25400</xdr:rowOff>
    </xdr:to>
    <xdr:sp macro="" textlink="">
      <xdr:nvSpPr>
        <xdr:cNvPr id="2" name="Rectangle: Rounded Corners 1">
          <a:extLst>
            <a:ext uri="{FF2B5EF4-FFF2-40B4-BE49-F238E27FC236}">
              <a16:creationId xmlns:a16="http://schemas.microsoft.com/office/drawing/2014/main" id="{F2D07691-36EF-E784-4562-498546257992}"/>
            </a:ext>
          </a:extLst>
        </xdr:cNvPr>
        <xdr:cNvSpPr/>
      </xdr:nvSpPr>
      <xdr:spPr>
        <a:xfrm>
          <a:off x="0" y="0"/>
          <a:ext cx="11652250" cy="5918200"/>
        </a:xfrm>
        <a:prstGeom prst="roundRect">
          <a:avLst>
            <a:gd name="adj" fmla="val 207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330200</xdr:colOff>
      <xdr:row>0</xdr:row>
      <xdr:rowOff>0</xdr:rowOff>
    </xdr:from>
    <xdr:to>
      <xdr:col>18</xdr:col>
      <xdr:colOff>571500</xdr:colOff>
      <xdr:row>32</xdr:row>
      <xdr:rowOff>44450</xdr:rowOff>
    </xdr:to>
    <xdr:sp macro="" textlink="">
      <xdr:nvSpPr>
        <xdr:cNvPr id="3" name="Rectangle: Rounded Corners 2">
          <a:extLst>
            <a:ext uri="{FF2B5EF4-FFF2-40B4-BE49-F238E27FC236}">
              <a16:creationId xmlns:a16="http://schemas.microsoft.com/office/drawing/2014/main" id="{23959617-BE3D-4A23-B7F9-0B076C7331C6}"/>
            </a:ext>
          </a:extLst>
        </xdr:cNvPr>
        <xdr:cNvSpPr/>
      </xdr:nvSpPr>
      <xdr:spPr>
        <a:xfrm>
          <a:off x="1549400" y="0"/>
          <a:ext cx="9994900" cy="5937250"/>
        </a:xfrm>
        <a:prstGeom prst="roundRect">
          <a:avLst>
            <a:gd name="adj" fmla="val 207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6</xdr:col>
      <xdr:colOff>514350</xdr:colOff>
      <xdr:row>0</xdr:row>
      <xdr:rowOff>25400</xdr:rowOff>
    </xdr:from>
    <xdr:to>
      <xdr:col>9</xdr:col>
      <xdr:colOff>596900</xdr:colOff>
      <xdr:row>4</xdr:row>
      <xdr:rowOff>0</xdr:rowOff>
    </xdr:to>
    <xdr:sp macro="" textlink="">
      <xdr:nvSpPr>
        <xdr:cNvPr id="5" name="Rectangle: Rounded Corners 4">
          <a:extLst>
            <a:ext uri="{FF2B5EF4-FFF2-40B4-BE49-F238E27FC236}">
              <a16:creationId xmlns:a16="http://schemas.microsoft.com/office/drawing/2014/main" id="{D358551A-3DE7-4010-AC57-8D2B5EA1F08A}"/>
            </a:ext>
          </a:extLst>
        </xdr:cNvPr>
        <xdr:cNvSpPr/>
      </xdr:nvSpPr>
      <xdr:spPr>
        <a:xfrm>
          <a:off x="4171950" y="25400"/>
          <a:ext cx="191135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342900</xdr:colOff>
      <xdr:row>0</xdr:row>
      <xdr:rowOff>25400</xdr:rowOff>
    </xdr:from>
    <xdr:to>
      <xdr:col>6</xdr:col>
      <xdr:colOff>514350</xdr:colOff>
      <xdr:row>3</xdr:row>
      <xdr:rowOff>177800</xdr:rowOff>
    </xdr:to>
    <xdr:sp macro="" textlink="">
      <xdr:nvSpPr>
        <xdr:cNvPr id="6" name="Rectangle: Rounded Corners 5">
          <a:extLst>
            <a:ext uri="{FF2B5EF4-FFF2-40B4-BE49-F238E27FC236}">
              <a16:creationId xmlns:a16="http://schemas.microsoft.com/office/drawing/2014/main" id="{C3ECE0C6-384E-4F60-B7D1-2F561CAE3545}"/>
            </a:ext>
          </a:extLst>
        </xdr:cNvPr>
        <xdr:cNvSpPr/>
      </xdr:nvSpPr>
      <xdr:spPr>
        <a:xfrm>
          <a:off x="1562100" y="25400"/>
          <a:ext cx="2609850" cy="7048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Aptos Narrow"/>
              <a:ea typeface="+mn-ea"/>
              <a:cs typeface="+mn-cs"/>
            </a:rPr>
            <a:t>Jumia Sales Data Analysis</a:t>
          </a:r>
          <a:endParaRPr lang="en-KE" sz="1800" b="1" i="0" u="none" strike="noStrike">
            <a:solidFill>
              <a:srgbClr val="000000"/>
            </a:solidFill>
            <a:latin typeface="Aptos Narrow"/>
            <a:ea typeface="+mn-ea"/>
            <a:cs typeface="+mn-cs"/>
          </a:endParaRPr>
        </a:p>
      </xdr:txBody>
    </xdr:sp>
    <xdr:clientData/>
  </xdr:twoCellAnchor>
  <xdr:twoCellAnchor>
    <xdr:from>
      <xdr:col>2</xdr:col>
      <xdr:colOff>425450</xdr:colOff>
      <xdr:row>9</xdr:row>
      <xdr:rowOff>107950</xdr:rowOff>
    </xdr:from>
    <xdr:to>
      <xdr:col>8</xdr:col>
      <xdr:colOff>165100</xdr:colOff>
      <xdr:row>19</xdr:row>
      <xdr:rowOff>139700</xdr:rowOff>
    </xdr:to>
    <xdr:sp macro="" textlink="">
      <xdr:nvSpPr>
        <xdr:cNvPr id="7" name="Rectangle: Rounded Corners 6">
          <a:extLst>
            <a:ext uri="{FF2B5EF4-FFF2-40B4-BE49-F238E27FC236}">
              <a16:creationId xmlns:a16="http://schemas.microsoft.com/office/drawing/2014/main" id="{2E3E6A5A-C299-42A5-94DE-6BE245F74104}"/>
            </a:ext>
          </a:extLst>
        </xdr:cNvPr>
        <xdr:cNvSpPr/>
      </xdr:nvSpPr>
      <xdr:spPr>
        <a:xfrm>
          <a:off x="1644650" y="1765300"/>
          <a:ext cx="3397250" cy="18732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508000</xdr:colOff>
      <xdr:row>0</xdr:row>
      <xdr:rowOff>31750</xdr:rowOff>
    </xdr:from>
    <xdr:to>
      <xdr:col>9</xdr:col>
      <xdr:colOff>254000</xdr:colOff>
      <xdr:row>1</xdr:row>
      <xdr:rowOff>38100</xdr:rowOff>
    </xdr:to>
    <xdr:sp macro="" textlink="">
      <xdr:nvSpPr>
        <xdr:cNvPr id="9" name="Rectangle: Rounded Corners 8">
          <a:extLst>
            <a:ext uri="{FF2B5EF4-FFF2-40B4-BE49-F238E27FC236}">
              <a16:creationId xmlns:a16="http://schemas.microsoft.com/office/drawing/2014/main" id="{0DEE4D13-763F-643D-1F2C-9B08B7CC8A10}"/>
            </a:ext>
          </a:extLst>
        </xdr:cNvPr>
        <xdr:cNvSpPr/>
      </xdr:nvSpPr>
      <xdr:spPr>
        <a:xfrm>
          <a:off x="4165600" y="317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Total Products</a:t>
          </a:r>
          <a:endParaRPr lang="en-KE" sz="1200"/>
        </a:p>
      </xdr:txBody>
    </xdr:sp>
    <xdr:clientData/>
  </xdr:twoCellAnchor>
  <xdr:twoCellAnchor>
    <xdr:from>
      <xdr:col>7</xdr:col>
      <xdr:colOff>0</xdr:colOff>
      <xdr:row>1</xdr:row>
      <xdr:rowOff>50800</xdr:rowOff>
    </xdr:from>
    <xdr:to>
      <xdr:col>9</xdr:col>
      <xdr:colOff>222250</xdr:colOff>
      <xdr:row>3</xdr:row>
      <xdr:rowOff>25400</xdr:rowOff>
    </xdr:to>
    <xdr:sp macro="" textlink="Metrics!B3">
      <xdr:nvSpPr>
        <xdr:cNvPr id="10" name="Rectangle: Rounded Corners 9">
          <a:extLst>
            <a:ext uri="{FF2B5EF4-FFF2-40B4-BE49-F238E27FC236}">
              <a16:creationId xmlns:a16="http://schemas.microsoft.com/office/drawing/2014/main" id="{40E00134-7428-4F34-BB8F-4C611A1C0C25}"/>
            </a:ext>
          </a:extLst>
        </xdr:cNvPr>
        <xdr:cNvSpPr/>
      </xdr:nvSpPr>
      <xdr:spPr>
        <a:xfrm>
          <a:off x="4267200" y="234950"/>
          <a:ext cx="1441450" cy="3429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09A80C-3BC8-4EE9-8640-F0397418705A}" type="TxLink">
            <a:rPr lang="en-US" sz="1600" b="0" i="0" u="none" strike="noStrike">
              <a:solidFill>
                <a:srgbClr val="000000"/>
              </a:solidFill>
              <a:latin typeface="Aptos Narrow"/>
            </a:rPr>
            <a:pPr algn="ctr"/>
            <a:t>108</a:t>
          </a:fld>
          <a:endParaRPr lang="en-KE" sz="1600"/>
        </a:p>
      </xdr:txBody>
    </xdr:sp>
    <xdr:clientData/>
  </xdr:twoCellAnchor>
  <xdr:twoCellAnchor>
    <xdr:from>
      <xdr:col>10</xdr:col>
      <xdr:colOff>0</xdr:colOff>
      <xdr:row>0</xdr:row>
      <xdr:rowOff>0</xdr:rowOff>
    </xdr:from>
    <xdr:to>
      <xdr:col>13</xdr:col>
      <xdr:colOff>50800</xdr:colOff>
      <xdr:row>3</xdr:row>
      <xdr:rowOff>177800</xdr:rowOff>
    </xdr:to>
    <xdr:sp macro="" textlink="">
      <xdr:nvSpPr>
        <xdr:cNvPr id="29" name="Rectangle: Rounded Corners 28">
          <a:extLst>
            <a:ext uri="{FF2B5EF4-FFF2-40B4-BE49-F238E27FC236}">
              <a16:creationId xmlns:a16="http://schemas.microsoft.com/office/drawing/2014/main" id="{D826996E-41A5-7577-2A0F-370A27E888C4}"/>
            </a:ext>
          </a:extLst>
        </xdr:cNvPr>
        <xdr:cNvSpPr/>
      </xdr:nvSpPr>
      <xdr:spPr>
        <a:xfrm>
          <a:off x="6096000" y="0"/>
          <a:ext cx="187960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0</xdr:colOff>
      <xdr:row>0</xdr:row>
      <xdr:rowOff>57150</xdr:rowOff>
    </xdr:from>
    <xdr:to>
      <xdr:col>12</xdr:col>
      <xdr:colOff>355600</xdr:colOff>
      <xdr:row>1</xdr:row>
      <xdr:rowOff>63500</xdr:rowOff>
    </xdr:to>
    <xdr:sp macro="" textlink="">
      <xdr:nvSpPr>
        <xdr:cNvPr id="30" name="Rectangle: Rounded Corners 29">
          <a:extLst>
            <a:ext uri="{FF2B5EF4-FFF2-40B4-BE49-F238E27FC236}">
              <a16:creationId xmlns:a16="http://schemas.microsoft.com/office/drawing/2014/main" id="{81B03B83-2472-43D7-AECB-E904B88B5F13}"/>
            </a:ext>
          </a:extLst>
        </xdr:cNvPr>
        <xdr:cNvSpPr/>
      </xdr:nvSpPr>
      <xdr:spPr>
        <a:xfrm>
          <a:off x="6096000" y="571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Avg Rating</a:t>
          </a:r>
          <a:endParaRPr lang="en-KE" sz="1200"/>
        </a:p>
      </xdr:txBody>
    </xdr:sp>
    <xdr:clientData/>
  </xdr:twoCellAnchor>
  <xdr:twoCellAnchor>
    <xdr:from>
      <xdr:col>10</xdr:col>
      <xdr:colOff>114300</xdr:colOff>
      <xdr:row>1</xdr:row>
      <xdr:rowOff>88900</xdr:rowOff>
    </xdr:from>
    <xdr:to>
      <xdr:col>12</xdr:col>
      <xdr:colOff>406400</xdr:colOff>
      <xdr:row>3</xdr:row>
      <xdr:rowOff>107950</xdr:rowOff>
    </xdr:to>
    <xdr:sp macro="" textlink="Metrics!B6">
      <xdr:nvSpPr>
        <xdr:cNvPr id="31" name="Rectangle: Rounded Corners 30">
          <a:extLst>
            <a:ext uri="{FF2B5EF4-FFF2-40B4-BE49-F238E27FC236}">
              <a16:creationId xmlns:a16="http://schemas.microsoft.com/office/drawing/2014/main" id="{B06C6ADC-B794-40E1-8C77-FFA75563E751}"/>
            </a:ext>
          </a:extLst>
        </xdr:cNvPr>
        <xdr:cNvSpPr/>
      </xdr:nvSpPr>
      <xdr:spPr>
        <a:xfrm>
          <a:off x="6210300" y="273050"/>
          <a:ext cx="1511300" cy="3873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6EC77D3-C6D1-412D-8B6D-73FF94EA1351}" type="TxLink">
            <a:rPr lang="en-US" sz="1600" b="0" i="0" u="none" strike="noStrike">
              <a:solidFill>
                <a:srgbClr val="000000"/>
              </a:solidFill>
              <a:latin typeface="Aptos Narrow"/>
              <a:ea typeface="+mn-ea"/>
              <a:cs typeface="+mn-cs"/>
            </a:rPr>
            <a:pPr marL="0" indent="0" algn="ctr"/>
            <a:t>2.01</a:t>
          </a:fld>
          <a:endParaRPr lang="en-KE" sz="1600" b="0" i="0" u="none" strike="noStrike">
            <a:solidFill>
              <a:srgbClr val="000000"/>
            </a:solidFill>
            <a:latin typeface="Aptos Narrow"/>
            <a:ea typeface="+mn-ea"/>
            <a:cs typeface="+mn-cs"/>
          </a:endParaRPr>
        </a:p>
      </xdr:txBody>
    </xdr:sp>
    <xdr:clientData/>
  </xdr:twoCellAnchor>
  <xdr:twoCellAnchor>
    <xdr:from>
      <xdr:col>13</xdr:col>
      <xdr:colOff>69850</xdr:colOff>
      <xdr:row>0</xdr:row>
      <xdr:rowOff>12700</xdr:rowOff>
    </xdr:from>
    <xdr:to>
      <xdr:col>16</xdr:col>
      <xdr:colOff>158750</xdr:colOff>
      <xdr:row>4</xdr:row>
      <xdr:rowOff>6350</xdr:rowOff>
    </xdr:to>
    <xdr:sp macro="" textlink="">
      <xdr:nvSpPr>
        <xdr:cNvPr id="32" name="Rectangle: Rounded Corners 31">
          <a:extLst>
            <a:ext uri="{FF2B5EF4-FFF2-40B4-BE49-F238E27FC236}">
              <a16:creationId xmlns:a16="http://schemas.microsoft.com/office/drawing/2014/main" id="{1758201C-AF3C-2892-DED0-E74CB9F485CB}"/>
            </a:ext>
          </a:extLst>
        </xdr:cNvPr>
        <xdr:cNvSpPr/>
      </xdr:nvSpPr>
      <xdr:spPr>
        <a:xfrm>
          <a:off x="7994650" y="12700"/>
          <a:ext cx="191770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196850</xdr:colOff>
      <xdr:row>0</xdr:row>
      <xdr:rowOff>57150</xdr:rowOff>
    </xdr:from>
    <xdr:to>
      <xdr:col>15</xdr:col>
      <xdr:colOff>552450</xdr:colOff>
      <xdr:row>1</xdr:row>
      <xdr:rowOff>63500</xdr:rowOff>
    </xdr:to>
    <xdr:sp macro="" textlink="">
      <xdr:nvSpPr>
        <xdr:cNvPr id="33" name="Rectangle: Rounded Corners 32">
          <a:extLst>
            <a:ext uri="{FF2B5EF4-FFF2-40B4-BE49-F238E27FC236}">
              <a16:creationId xmlns:a16="http://schemas.microsoft.com/office/drawing/2014/main" id="{EA3F76A8-A13A-4977-BC8E-BD3182B3FBE8}"/>
            </a:ext>
          </a:extLst>
        </xdr:cNvPr>
        <xdr:cNvSpPr/>
      </xdr:nvSpPr>
      <xdr:spPr>
        <a:xfrm>
          <a:off x="8121650" y="571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Avg.%Discount</a:t>
          </a:r>
          <a:endParaRPr lang="en-KE" sz="1200"/>
        </a:p>
      </xdr:txBody>
    </xdr:sp>
    <xdr:clientData/>
  </xdr:twoCellAnchor>
  <xdr:twoCellAnchor>
    <xdr:from>
      <xdr:col>13</xdr:col>
      <xdr:colOff>260350</xdr:colOff>
      <xdr:row>1</xdr:row>
      <xdr:rowOff>114300</xdr:rowOff>
    </xdr:from>
    <xdr:to>
      <xdr:col>16</xdr:col>
      <xdr:colOff>6350</xdr:colOff>
      <xdr:row>3</xdr:row>
      <xdr:rowOff>88900</xdr:rowOff>
    </xdr:to>
    <xdr:sp macro="" textlink="Metrics!B9">
      <xdr:nvSpPr>
        <xdr:cNvPr id="34" name="Rectangle: Rounded Corners 33">
          <a:extLst>
            <a:ext uri="{FF2B5EF4-FFF2-40B4-BE49-F238E27FC236}">
              <a16:creationId xmlns:a16="http://schemas.microsoft.com/office/drawing/2014/main" id="{DE23ED3D-FB39-4F0A-B950-6E340682505C}"/>
            </a:ext>
          </a:extLst>
        </xdr:cNvPr>
        <xdr:cNvSpPr/>
      </xdr:nvSpPr>
      <xdr:spPr>
        <a:xfrm>
          <a:off x="8185150" y="298450"/>
          <a:ext cx="1574800" cy="3429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E258158-1D42-4DBC-BBB8-76418C3D60FD}" type="TxLink">
            <a:rPr lang="en-US" sz="1600" b="0" i="0" u="none" strike="noStrike">
              <a:solidFill>
                <a:srgbClr val="000000"/>
              </a:solidFill>
              <a:latin typeface="Aptos Narrow"/>
              <a:ea typeface="+mn-ea"/>
              <a:cs typeface="+mn-cs"/>
            </a:rPr>
            <a:pPr marL="0" indent="0" algn="ctr"/>
            <a:t>0.36</a:t>
          </a:fld>
          <a:endParaRPr lang="en-KE" sz="1600" b="0" i="0" u="none" strike="noStrike">
            <a:solidFill>
              <a:srgbClr val="000000"/>
            </a:solidFill>
            <a:latin typeface="Aptos Narrow"/>
            <a:ea typeface="+mn-ea"/>
            <a:cs typeface="+mn-cs"/>
          </a:endParaRPr>
        </a:p>
      </xdr:txBody>
    </xdr:sp>
    <xdr:clientData/>
  </xdr:twoCellAnchor>
  <xdr:twoCellAnchor>
    <xdr:from>
      <xdr:col>16</xdr:col>
      <xdr:colOff>158750</xdr:colOff>
      <xdr:row>0</xdr:row>
      <xdr:rowOff>19050</xdr:rowOff>
    </xdr:from>
    <xdr:to>
      <xdr:col>18</xdr:col>
      <xdr:colOff>577850</xdr:colOff>
      <xdr:row>3</xdr:row>
      <xdr:rowOff>152400</xdr:rowOff>
    </xdr:to>
    <xdr:sp macro="" textlink="">
      <xdr:nvSpPr>
        <xdr:cNvPr id="35" name="Rectangle: Rounded Corners 34">
          <a:extLst>
            <a:ext uri="{FF2B5EF4-FFF2-40B4-BE49-F238E27FC236}">
              <a16:creationId xmlns:a16="http://schemas.microsoft.com/office/drawing/2014/main" id="{7E201207-69AB-8ED0-974D-27B281D904A2}"/>
            </a:ext>
          </a:extLst>
        </xdr:cNvPr>
        <xdr:cNvSpPr/>
      </xdr:nvSpPr>
      <xdr:spPr>
        <a:xfrm>
          <a:off x="9912350" y="19050"/>
          <a:ext cx="16383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234950</xdr:colOff>
      <xdr:row>0</xdr:row>
      <xdr:rowOff>63500</xdr:rowOff>
    </xdr:from>
    <xdr:to>
      <xdr:col>18</xdr:col>
      <xdr:colOff>590550</xdr:colOff>
      <xdr:row>1</xdr:row>
      <xdr:rowOff>69850</xdr:rowOff>
    </xdr:to>
    <xdr:sp macro="" textlink="">
      <xdr:nvSpPr>
        <xdr:cNvPr id="36" name="Rectangle: Rounded Corners 35">
          <a:extLst>
            <a:ext uri="{FF2B5EF4-FFF2-40B4-BE49-F238E27FC236}">
              <a16:creationId xmlns:a16="http://schemas.microsoft.com/office/drawing/2014/main" id="{D4549EB6-1F94-449D-AD06-4599673401DA}"/>
            </a:ext>
          </a:extLst>
        </xdr:cNvPr>
        <xdr:cNvSpPr/>
      </xdr:nvSpPr>
      <xdr:spPr>
        <a:xfrm>
          <a:off x="9988550" y="6350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Total Reviews</a:t>
          </a:r>
          <a:endParaRPr lang="en-KE" sz="1200"/>
        </a:p>
      </xdr:txBody>
    </xdr:sp>
    <xdr:clientData/>
  </xdr:twoCellAnchor>
  <xdr:twoCellAnchor>
    <xdr:from>
      <xdr:col>16</xdr:col>
      <xdr:colOff>285750</xdr:colOff>
      <xdr:row>1</xdr:row>
      <xdr:rowOff>82550</xdr:rowOff>
    </xdr:from>
    <xdr:to>
      <xdr:col>18</xdr:col>
      <xdr:colOff>546100</xdr:colOff>
      <xdr:row>3</xdr:row>
      <xdr:rowOff>88900</xdr:rowOff>
    </xdr:to>
    <xdr:sp macro="" textlink="Metrics!B12">
      <xdr:nvSpPr>
        <xdr:cNvPr id="37" name="Rectangle: Rounded Corners 36">
          <a:extLst>
            <a:ext uri="{FF2B5EF4-FFF2-40B4-BE49-F238E27FC236}">
              <a16:creationId xmlns:a16="http://schemas.microsoft.com/office/drawing/2014/main" id="{24D3D0B7-646C-4E6E-937B-D10B52342DA6}"/>
            </a:ext>
          </a:extLst>
        </xdr:cNvPr>
        <xdr:cNvSpPr/>
      </xdr:nvSpPr>
      <xdr:spPr>
        <a:xfrm>
          <a:off x="10039350" y="266700"/>
          <a:ext cx="1479550" cy="3746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94A87B7-25BD-4AB8-9384-464AA49CE268}" type="TxLink">
            <a:rPr lang="en-US" sz="1600" b="0" i="0" u="none" strike="noStrike">
              <a:solidFill>
                <a:srgbClr val="000000"/>
              </a:solidFill>
              <a:latin typeface="Aptos Narrow"/>
              <a:ea typeface="+mn-ea"/>
              <a:cs typeface="+mn-cs"/>
            </a:rPr>
            <a:pPr marL="0" indent="0" algn="ctr"/>
            <a:t>721</a:t>
          </a:fld>
          <a:endParaRPr lang="en-KE" sz="1600" b="0" i="0" u="none" strike="noStrike">
            <a:solidFill>
              <a:srgbClr val="000000"/>
            </a:solidFill>
            <a:latin typeface="Aptos Narrow"/>
            <a:ea typeface="+mn-ea"/>
            <a:cs typeface="+mn-cs"/>
          </a:endParaRPr>
        </a:p>
      </xdr:txBody>
    </xdr:sp>
    <xdr:clientData/>
  </xdr:twoCellAnchor>
  <xdr:twoCellAnchor>
    <xdr:from>
      <xdr:col>0</xdr:col>
      <xdr:colOff>63500</xdr:colOff>
      <xdr:row>0</xdr:row>
      <xdr:rowOff>31750</xdr:rowOff>
    </xdr:from>
    <xdr:to>
      <xdr:col>2</xdr:col>
      <xdr:colOff>311150</xdr:colOff>
      <xdr:row>5</xdr:row>
      <xdr:rowOff>50800</xdr:rowOff>
    </xdr:to>
    <xdr:sp macro="" textlink="">
      <xdr:nvSpPr>
        <xdr:cNvPr id="40" name="Rectangle: Rounded Corners 39">
          <a:extLst>
            <a:ext uri="{FF2B5EF4-FFF2-40B4-BE49-F238E27FC236}">
              <a16:creationId xmlns:a16="http://schemas.microsoft.com/office/drawing/2014/main" id="{6E55B3BF-8AC6-3D9F-83E2-819E5711DB8E}"/>
            </a:ext>
          </a:extLst>
        </xdr:cNvPr>
        <xdr:cNvSpPr/>
      </xdr:nvSpPr>
      <xdr:spPr>
        <a:xfrm>
          <a:off x="63500" y="31750"/>
          <a:ext cx="146685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0</xdr:col>
      <xdr:colOff>95250</xdr:colOff>
      <xdr:row>0</xdr:row>
      <xdr:rowOff>69850</xdr:rowOff>
    </xdr:from>
    <xdr:to>
      <xdr:col>2</xdr:col>
      <xdr:colOff>247650</xdr:colOff>
      <xdr:row>4</xdr:row>
      <xdr:rowOff>82550</xdr:rowOff>
    </xdr:to>
    <xdr:pic>
      <xdr:nvPicPr>
        <xdr:cNvPr id="42" name="Graphic 41" descr="Customer review with solid fill">
          <a:extLst>
            <a:ext uri="{FF2B5EF4-FFF2-40B4-BE49-F238E27FC236}">
              <a16:creationId xmlns:a16="http://schemas.microsoft.com/office/drawing/2014/main" id="{2736F8F1-8209-A3F8-C4F4-3CBF3BEA84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69850"/>
          <a:ext cx="1371600" cy="850900"/>
        </a:xfrm>
        <a:prstGeom prst="rect">
          <a:avLst/>
        </a:prstGeom>
      </xdr:spPr>
    </xdr:pic>
    <xdr:clientData/>
  </xdr:twoCellAnchor>
  <xdr:twoCellAnchor editAs="oneCell">
    <xdr:from>
      <xdr:col>2</xdr:col>
      <xdr:colOff>406400</xdr:colOff>
      <xdr:row>4</xdr:row>
      <xdr:rowOff>38100</xdr:rowOff>
    </xdr:from>
    <xdr:to>
      <xdr:col>12</xdr:col>
      <xdr:colOff>558800</xdr:colOff>
      <xdr:row>8</xdr:row>
      <xdr:rowOff>107950</xdr:rowOff>
    </xdr:to>
    <mc:AlternateContent xmlns:mc="http://schemas.openxmlformats.org/markup-compatibility/2006" xmlns:a14="http://schemas.microsoft.com/office/drawing/2010/main">
      <mc:Choice Requires="a14">
        <xdr:graphicFrame macro="">
          <xdr:nvGraphicFramePr>
            <xdr:cNvPr id="44" name="Product 1">
              <a:extLst>
                <a:ext uri="{FF2B5EF4-FFF2-40B4-BE49-F238E27FC236}">
                  <a16:creationId xmlns:a16="http://schemas.microsoft.com/office/drawing/2014/main" id="{5B266197-5EE2-4B88-AA88-D8B1E6CF5F3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108450" y="774700"/>
              <a:ext cx="3765550" cy="908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565150</xdr:colOff>
      <xdr:row>4</xdr:row>
      <xdr:rowOff>19050</xdr:rowOff>
    </xdr:from>
    <xdr:to>
      <xdr:col>15</xdr:col>
      <xdr:colOff>565150</xdr:colOff>
      <xdr:row>8</xdr:row>
      <xdr:rowOff>107950</xdr:rowOff>
    </xdr:to>
    <mc:AlternateContent xmlns:mc="http://schemas.openxmlformats.org/markup-compatibility/2006" xmlns:a14="http://schemas.microsoft.com/office/drawing/2010/main">
      <mc:Choice Requires="a14">
        <xdr:graphicFrame macro="">
          <xdr:nvGraphicFramePr>
            <xdr:cNvPr id="45" name="Rating Gategory 1">
              <a:extLst>
                <a:ext uri="{FF2B5EF4-FFF2-40B4-BE49-F238E27FC236}">
                  <a16:creationId xmlns:a16="http://schemas.microsoft.com/office/drawing/2014/main" id="{2AE8CC01-EA6B-4F7F-9E73-623F3D53BD71}"/>
                </a:ext>
              </a:extLst>
            </xdr:cNvPr>
            <xdr:cNvGraphicFramePr/>
          </xdr:nvGraphicFramePr>
          <xdr:xfrm>
            <a:off x="0" y="0"/>
            <a:ext cx="0" cy="0"/>
          </xdr:xfrm>
          <a:graphic>
            <a:graphicData uri="http://schemas.microsoft.com/office/drawing/2010/slicer">
              <sle:slicer xmlns:sle="http://schemas.microsoft.com/office/drawing/2010/slicer" name="Rating Gategory 1"/>
            </a:graphicData>
          </a:graphic>
        </xdr:graphicFrame>
      </mc:Choice>
      <mc:Fallback xmlns="">
        <xdr:sp macro="" textlink="">
          <xdr:nvSpPr>
            <xdr:cNvPr id="0" name=""/>
            <xdr:cNvSpPr>
              <a:spLocks noTextEdit="1"/>
            </xdr:cNvSpPr>
          </xdr:nvSpPr>
          <xdr:spPr>
            <a:xfrm>
              <a:off x="7880350" y="755650"/>
              <a:ext cx="1828800" cy="9271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552450</xdr:colOff>
      <xdr:row>3</xdr:row>
      <xdr:rowOff>158750</xdr:rowOff>
    </xdr:from>
    <xdr:to>
      <xdr:col>18</xdr:col>
      <xdr:colOff>450850</xdr:colOff>
      <xdr:row>8</xdr:row>
      <xdr:rowOff>95250</xdr:rowOff>
    </xdr:to>
    <mc:AlternateContent xmlns:mc="http://schemas.openxmlformats.org/markup-compatibility/2006" xmlns:a14="http://schemas.microsoft.com/office/drawing/2010/main">
      <mc:Choice Requires="a14">
        <xdr:graphicFrame macro="">
          <xdr:nvGraphicFramePr>
            <xdr:cNvPr id="47" name="Discount Gategory 1">
              <a:extLst>
                <a:ext uri="{FF2B5EF4-FFF2-40B4-BE49-F238E27FC236}">
                  <a16:creationId xmlns:a16="http://schemas.microsoft.com/office/drawing/2014/main" id="{5E6AE045-9D5E-486A-A9C7-894AF0E32322}"/>
                </a:ext>
              </a:extLst>
            </xdr:cNvPr>
            <xdr:cNvGraphicFramePr/>
          </xdr:nvGraphicFramePr>
          <xdr:xfrm>
            <a:off x="0" y="0"/>
            <a:ext cx="0" cy="0"/>
          </xdr:xfrm>
          <a:graphic>
            <a:graphicData uri="http://schemas.microsoft.com/office/drawing/2010/slicer">
              <sle:slicer xmlns:sle="http://schemas.microsoft.com/office/drawing/2010/slicer" name="Discount Gategory 1"/>
            </a:graphicData>
          </a:graphic>
        </xdr:graphicFrame>
      </mc:Choice>
      <mc:Fallback xmlns="">
        <xdr:sp macro="" textlink="">
          <xdr:nvSpPr>
            <xdr:cNvPr id="0" name=""/>
            <xdr:cNvSpPr>
              <a:spLocks noTextEdit="1"/>
            </xdr:cNvSpPr>
          </xdr:nvSpPr>
          <xdr:spPr>
            <a:xfrm>
              <a:off x="9696450" y="711200"/>
              <a:ext cx="1828800" cy="984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527050</xdr:colOff>
      <xdr:row>9</xdr:row>
      <xdr:rowOff>171450</xdr:rowOff>
    </xdr:from>
    <xdr:to>
      <xdr:col>8</xdr:col>
      <xdr:colOff>0</xdr:colOff>
      <xdr:row>11</xdr:row>
      <xdr:rowOff>69850</xdr:rowOff>
    </xdr:to>
    <xdr:sp macro="" textlink="">
      <xdr:nvSpPr>
        <xdr:cNvPr id="49" name="Rectangle: Rounded Corners 48">
          <a:extLst>
            <a:ext uri="{FF2B5EF4-FFF2-40B4-BE49-F238E27FC236}">
              <a16:creationId xmlns:a16="http://schemas.microsoft.com/office/drawing/2014/main" id="{B2193AFD-9A70-C5A4-3FDE-3F3CD345B91F}"/>
            </a:ext>
          </a:extLst>
        </xdr:cNvPr>
        <xdr:cNvSpPr/>
      </xdr:nvSpPr>
      <xdr:spPr>
        <a:xfrm>
          <a:off x="1644650" y="1828800"/>
          <a:ext cx="282575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 %Discount and Reviews</a:t>
          </a:r>
          <a:endParaRPr lang="en-KE" sz="1100" b="1">
            <a:solidFill>
              <a:sysClr val="windowText" lastClr="000000"/>
            </a:solidFill>
            <a:latin typeface="+mn-lt"/>
            <a:ea typeface="+mn-ea"/>
            <a:cs typeface="+mn-cs"/>
          </a:endParaRPr>
        </a:p>
      </xdr:txBody>
    </xdr:sp>
    <xdr:clientData/>
  </xdr:twoCellAnchor>
  <xdr:twoCellAnchor>
    <xdr:from>
      <xdr:col>8</xdr:col>
      <xdr:colOff>247650</xdr:colOff>
      <xdr:row>9</xdr:row>
      <xdr:rowOff>69850</xdr:rowOff>
    </xdr:from>
    <xdr:to>
      <xdr:col>13</xdr:col>
      <xdr:colOff>203200</xdr:colOff>
      <xdr:row>19</xdr:row>
      <xdr:rowOff>127000</xdr:rowOff>
    </xdr:to>
    <xdr:sp macro="" textlink="">
      <xdr:nvSpPr>
        <xdr:cNvPr id="57" name="Rectangle: Rounded Corners 56">
          <a:extLst>
            <a:ext uri="{FF2B5EF4-FFF2-40B4-BE49-F238E27FC236}">
              <a16:creationId xmlns:a16="http://schemas.microsoft.com/office/drawing/2014/main" id="{862F6ED1-9C16-460E-A1D8-370C8C951C6F}"/>
            </a:ext>
          </a:extLst>
        </xdr:cNvPr>
        <xdr:cNvSpPr/>
      </xdr:nvSpPr>
      <xdr:spPr>
        <a:xfrm>
          <a:off x="5124450" y="1727200"/>
          <a:ext cx="3003550" cy="18986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0</xdr:col>
      <xdr:colOff>31750</xdr:colOff>
      <xdr:row>5</xdr:row>
      <xdr:rowOff>82550</xdr:rowOff>
    </xdr:from>
    <xdr:to>
      <xdr:col>2</xdr:col>
      <xdr:colOff>298450</xdr:colOff>
      <xdr:row>7</xdr:row>
      <xdr:rowOff>177800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A0B09DED-150D-DAE4-3DDD-6969CD73BC58}"/>
            </a:ext>
          </a:extLst>
        </xdr:cNvPr>
        <xdr:cNvSpPr/>
      </xdr:nvSpPr>
      <xdr:spPr>
        <a:xfrm>
          <a:off x="31750" y="100330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Dashbaord</a:t>
          </a:r>
          <a:endParaRPr lang="en-KE" sz="2000"/>
        </a:p>
      </xdr:txBody>
    </xdr:sp>
    <xdr:clientData/>
  </xdr:twoCellAnchor>
  <xdr:twoCellAnchor>
    <xdr:from>
      <xdr:col>0</xdr:col>
      <xdr:colOff>0</xdr:colOff>
      <xdr:row>8</xdr:row>
      <xdr:rowOff>50800</xdr:rowOff>
    </xdr:from>
    <xdr:to>
      <xdr:col>2</xdr:col>
      <xdr:colOff>266700</xdr:colOff>
      <xdr:row>10</xdr:row>
      <xdr:rowOff>146050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D65A4CA-BB22-4C3C-876E-7F77537B1E16}"/>
            </a:ext>
          </a:extLst>
        </xdr:cNvPr>
        <xdr:cNvSpPr/>
      </xdr:nvSpPr>
      <xdr:spPr>
        <a:xfrm>
          <a:off x="0" y="152400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Trend </a:t>
          </a:r>
          <a:r>
            <a:rPr lang="en-US" sz="1200"/>
            <a:t>Analysis</a:t>
          </a:r>
          <a:endParaRPr lang="en-KE" sz="1200"/>
        </a:p>
      </xdr:txBody>
    </xdr:sp>
    <xdr:clientData/>
  </xdr:twoCellAnchor>
  <xdr:twoCellAnchor>
    <xdr:from>
      <xdr:col>0</xdr:col>
      <xdr:colOff>57150</xdr:colOff>
      <xdr:row>11</xdr:row>
      <xdr:rowOff>139700</xdr:rowOff>
    </xdr:from>
    <xdr:to>
      <xdr:col>2</xdr:col>
      <xdr:colOff>323850</xdr:colOff>
      <xdr:row>14</xdr:row>
      <xdr:rowOff>50800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CD75D8C2-5201-4696-8B7B-8BAB7104AAFE}"/>
            </a:ext>
          </a:extLst>
        </xdr:cNvPr>
        <xdr:cNvSpPr/>
      </xdr:nvSpPr>
      <xdr:spPr>
        <a:xfrm>
          <a:off x="57150" y="216535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CleandData</a:t>
          </a:r>
          <a:endParaRPr lang="en-KE" sz="1200"/>
        </a:p>
      </xdr:txBody>
    </xdr:sp>
    <xdr:clientData/>
  </xdr:twoCellAnchor>
  <xdr:twoCellAnchor>
    <xdr:from>
      <xdr:col>2</xdr:col>
      <xdr:colOff>546100</xdr:colOff>
      <xdr:row>11</xdr:row>
      <xdr:rowOff>31751</xdr:rowOff>
    </xdr:from>
    <xdr:to>
      <xdr:col>8</xdr:col>
      <xdr:colOff>82550</xdr:colOff>
      <xdr:row>18</xdr:row>
      <xdr:rowOff>171451</xdr:rowOff>
    </xdr:to>
    <xdr:graphicFrame macro="">
      <xdr:nvGraphicFramePr>
        <xdr:cNvPr id="16" name="Chart 15">
          <a:extLst>
            <a:ext uri="{FF2B5EF4-FFF2-40B4-BE49-F238E27FC236}">
              <a16:creationId xmlns:a16="http://schemas.microsoft.com/office/drawing/2014/main" id="{614E775B-E9CA-459D-910C-96A864B92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444500</xdr:colOff>
      <xdr:row>9</xdr:row>
      <xdr:rowOff>165100</xdr:rowOff>
    </xdr:from>
    <xdr:to>
      <xdr:col>13</xdr:col>
      <xdr:colOff>31750</xdr:colOff>
      <xdr:row>11</xdr:row>
      <xdr:rowOff>63500</xdr:rowOff>
    </xdr:to>
    <xdr:sp macro="" textlink="">
      <xdr:nvSpPr>
        <xdr:cNvPr id="17" name="Rectangle: Rounded Corners 16">
          <a:extLst>
            <a:ext uri="{FF2B5EF4-FFF2-40B4-BE49-F238E27FC236}">
              <a16:creationId xmlns:a16="http://schemas.microsoft.com/office/drawing/2014/main" id="{6D55C7C3-BBD8-4185-8E5D-3B2710B59012}"/>
            </a:ext>
          </a:extLst>
        </xdr:cNvPr>
        <xdr:cNvSpPr/>
      </xdr:nvSpPr>
      <xdr:spPr>
        <a:xfrm>
          <a:off x="5321300" y="1822450"/>
          <a:ext cx="263525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a:t>
          </a:r>
          <a:r>
            <a:rPr lang="en-US" sz="1100" b="1" baseline="0">
              <a:solidFill>
                <a:sysClr val="windowText" lastClr="000000"/>
              </a:solidFill>
              <a:latin typeface="+mn-lt"/>
              <a:ea typeface="+mn-ea"/>
              <a:cs typeface="+mn-cs"/>
            </a:rPr>
            <a:t> Rating</a:t>
          </a:r>
          <a:r>
            <a:rPr lang="en-US" sz="1100" b="1">
              <a:solidFill>
                <a:sysClr val="windowText" lastClr="000000"/>
              </a:solidFill>
              <a:latin typeface="+mn-lt"/>
              <a:ea typeface="+mn-ea"/>
              <a:cs typeface="+mn-cs"/>
            </a:rPr>
            <a:t> and Reviews</a:t>
          </a:r>
          <a:endParaRPr lang="en-KE" sz="1100" b="1">
            <a:solidFill>
              <a:sysClr val="windowText" lastClr="000000"/>
            </a:solidFill>
            <a:latin typeface="+mn-lt"/>
            <a:ea typeface="+mn-ea"/>
            <a:cs typeface="+mn-cs"/>
          </a:endParaRPr>
        </a:p>
      </xdr:txBody>
    </xdr:sp>
    <xdr:clientData/>
  </xdr:twoCellAnchor>
  <xdr:twoCellAnchor>
    <xdr:from>
      <xdr:col>8</xdr:col>
      <xdr:colOff>342900</xdr:colOff>
      <xdr:row>11</xdr:row>
      <xdr:rowOff>57150</xdr:rowOff>
    </xdr:from>
    <xdr:to>
      <xdr:col>12</xdr:col>
      <xdr:colOff>558800</xdr:colOff>
      <xdr:row>18</xdr:row>
      <xdr:rowOff>177800</xdr:rowOff>
    </xdr:to>
    <xdr:graphicFrame macro="">
      <xdr:nvGraphicFramePr>
        <xdr:cNvPr id="18" name="Chart 17">
          <a:extLst>
            <a:ext uri="{FF2B5EF4-FFF2-40B4-BE49-F238E27FC236}">
              <a16:creationId xmlns:a16="http://schemas.microsoft.com/office/drawing/2014/main" id="{0B46AEA0-EDA5-4DF8-9F2D-1608BBF76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412750</xdr:colOff>
      <xdr:row>20</xdr:row>
      <xdr:rowOff>19050</xdr:rowOff>
    </xdr:from>
    <xdr:to>
      <xdr:col>11</xdr:col>
      <xdr:colOff>95250</xdr:colOff>
      <xdr:row>32</xdr:row>
      <xdr:rowOff>25400</xdr:rowOff>
    </xdr:to>
    <xdr:sp macro="" textlink="">
      <xdr:nvSpPr>
        <xdr:cNvPr id="20" name="Rectangle: Rounded Corners 19">
          <a:extLst>
            <a:ext uri="{FF2B5EF4-FFF2-40B4-BE49-F238E27FC236}">
              <a16:creationId xmlns:a16="http://schemas.microsoft.com/office/drawing/2014/main" id="{23B952A4-CCFB-46CD-ABA0-D13250C87432}"/>
            </a:ext>
          </a:extLst>
        </xdr:cNvPr>
        <xdr:cNvSpPr/>
      </xdr:nvSpPr>
      <xdr:spPr>
        <a:xfrm>
          <a:off x="1631950" y="3702050"/>
          <a:ext cx="5168900" cy="22161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368300</xdr:colOff>
      <xdr:row>20</xdr:row>
      <xdr:rowOff>88900</xdr:rowOff>
    </xdr:from>
    <xdr:to>
      <xdr:col>8</xdr:col>
      <xdr:colOff>304800</xdr:colOff>
      <xdr:row>21</xdr:row>
      <xdr:rowOff>171450</xdr:rowOff>
    </xdr:to>
    <xdr:sp macro="" textlink="">
      <xdr:nvSpPr>
        <xdr:cNvPr id="22" name="Rectangle: Rounded Corners 21">
          <a:extLst>
            <a:ext uri="{FF2B5EF4-FFF2-40B4-BE49-F238E27FC236}">
              <a16:creationId xmlns:a16="http://schemas.microsoft.com/office/drawing/2014/main" id="{4B36F898-7025-4706-B422-023698880F2C}"/>
            </a:ext>
          </a:extLst>
        </xdr:cNvPr>
        <xdr:cNvSpPr/>
      </xdr:nvSpPr>
      <xdr:spPr>
        <a:xfrm>
          <a:off x="2197100" y="3771900"/>
          <a:ext cx="29845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Top 5</a:t>
          </a:r>
          <a:r>
            <a:rPr lang="en-US" sz="1100" b="1" baseline="0">
              <a:solidFill>
                <a:sysClr val="windowText" lastClr="000000"/>
              </a:solidFill>
              <a:latin typeface="+mn-lt"/>
              <a:ea typeface="+mn-ea"/>
              <a:cs typeface="+mn-cs"/>
            </a:rPr>
            <a:t> Products With Highest Rating</a:t>
          </a:r>
          <a:endParaRPr lang="en-KE" sz="1100" b="1">
            <a:solidFill>
              <a:sysClr val="windowText" lastClr="000000"/>
            </a:solidFill>
            <a:latin typeface="+mn-lt"/>
            <a:ea typeface="+mn-ea"/>
            <a:cs typeface="+mn-cs"/>
          </a:endParaRPr>
        </a:p>
      </xdr:txBody>
    </xdr:sp>
    <xdr:clientData/>
  </xdr:twoCellAnchor>
  <xdr:twoCellAnchor>
    <xdr:from>
      <xdr:col>11</xdr:col>
      <xdr:colOff>177800</xdr:colOff>
      <xdr:row>19</xdr:row>
      <xdr:rowOff>146049</xdr:rowOff>
    </xdr:from>
    <xdr:to>
      <xdr:col>18</xdr:col>
      <xdr:colOff>584200</xdr:colOff>
      <xdr:row>32</xdr:row>
      <xdr:rowOff>39687</xdr:rowOff>
    </xdr:to>
    <xdr:sp macro="" textlink="">
      <xdr:nvSpPr>
        <xdr:cNvPr id="23" name="Rectangle: Rounded Corners 22">
          <a:extLst>
            <a:ext uri="{FF2B5EF4-FFF2-40B4-BE49-F238E27FC236}">
              <a16:creationId xmlns:a16="http://schemas.microsoft.com/office/drawing/2014/main" id="{915F2701-57FD-43BF-810B-6C106134CE87}"/>
            </a:ext>
          </a:extLst>
        </xdr:cNvPr>
        <xdr:cNvSpPr/>
      </xdr:nvSpPr>
      <xdr:spPr>
        <a:xfrm>
          <a:off x="6900863" y="4067174"/>
          <a:ext cx="4684712" cy="257651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317500</xdr:colOff>
      <xdr:row>19</xdr:row>
      <xdr:rowOff>171450</xdr:rowOff>
    </xdr:from>
    <xdr:to>
      <xdr:col>17</xdr:col>
      <xdr:colOff>254000</xdr:colOff>
      <xdr:row>21</xdr:row>
      <xdr:rowOff>69850</xdr:rowOff>
    </xdr:to>
    <xdr:sp macro="" textlink="">
      <xdr:nvSpPr>
        <xdr:cNvPr id="25" name="Rectangle: Rounded Corners 24">
          <a:extLst>
            <a:ext uri="{FF2B5EF4-FFF2-40B4-BE49-F238E27FC236}">
              <a16:creationId xmlns:a16="http://schemas.microsoft.com/office/drawing/2014/main" id="{F89F6F5F-FC0D-4DBB-99D6-6779A395425B}"/>
            </a:ext>
          </a:extLst>
        </xdr:cNvPr>
        <xdr:cNvSpPr/>
      </xdr:nvSpPr>
      <xdr:spPr>
        <a:xfrm>
          <a:off x="7632700" y="3670300"/>
          <a:ext cx="29845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Top</a:t>
          </a:r>
          <a:r>
            <a:rPr lang="en-US" sz="1100" b="1" baseline="0">
              <a:solidFill>
                <a:sysClr val="windowText" lastClr="000000"/>
              </a:solidFill>
              <a:latin typeface="+mn-lt"/>
              <a:ea typeface="+mn-ea"/>
              <a:cs typeface="+mn-cs"/>
            </a:rPr>
            <a:t> 10 Products  with Highest Discount</a:t>
          </a:r>
          <a:endParaRPr lang="en-KE" sz="1100" b="1">
            <a:solidFill>
              <a:sysClr val="windowText" lastClr="000000"/>
            </a:solidFill>
            <a:latin typeface="+mn-lt"/>
            <a:ea typeface="+mn-ea"/>
            <a:cs typeface="+mn-cs"/>
          </a:endParaRPr>
        </a:p>
      </xdr:txBody>
    </xdr:sp>
    <xdr:clientData/>
  </xdr:twoCellAnchor>
  <xdr:twoCellAnchor>
    <xdr:from>
      <xdr:col>13</xdr:col>
      <xdr:colOff>241300</xdr:colOff>
      <xdr:row>9</xdr:row>
      <xdr:rowOff>12700</xdr:rowOff>
    </xdr:from>
    <xdr:to>
      <xdr:col>18</xdr:col>
      <xdr:colOff>565150</xdr:colOff>
      <xdr:row>19</xdr:row>
      <xdr:rowOff>69850</xdr:rowOff>
    </xdr:to>
    <xdr:sp macro="" textlink="">
      <xdr:nvSpPr>
        <xdr:cNvPr id="39" name="Rectangle: Rounded Corners 38">
          <a:extLst>
            <a:ext uri="{FF2B5EF4-FFF2-40B4-BE49-F238E27FC236}">
              <a16:creationId xmlns:a16="http://schemas.microsoft.com/office/drawing/2014/main" id="{ECF7E95C-7302-4C49-81C4-6A77FBB200A4}"/>
            </a:ext>
          </a:extLst>
        </xdr:cNvPr>
        <xdr:cNvSpPr/>
      </xdr:nvSpPr>
      <xdr:spPr>
        <a:xfrm>
          <a:off x="8166100" y="1670050"/>
          <a:ext cx="3371850" cy="18986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336550</xdr:colOff>
      <xdr:row>10</xdr:row>
      <xdr:rowOff>82550</xdr:rowOff>
    </xdr:from>
    <xdr:to>
      <xdr:col>18</xdr:col>
      <xdr:colOff>482600</xdr:colOff>
      <xdr:row>18</xdr:row>
      <xdr:rowOff>76200</xdr:rowOff>
    </xdr:to>
    <xdr:graphicFrame macro="">
      <xdr:nvGraphicFramePr>
        <xdr:cNvPr id="41" name="Chart 40">
          <a:extLst>
            <a:ext uri="{FF2B5EF4-FFF2-40B4-BE49-F238E27FC236}">
              <a16:creationId xmlns:a16="http://schemas.microsoft.com/office/drawing/2014/main" id="{CA618472-499D-46D8-8798-BC1E38F6F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196850</xdr:colOff>
      <xdr:row>9</xdr:row>
      <xdr:rowOff>38100</xdr:rowOff>
    </xdr:from>
    <xdr:to>
      <xdr:col>18</xdr:col>
      <xdr:colOff>387350</xdr:colOff>
      <xdr:row>10</xdr:row>
      <xdr:rowOff>120650</xdr:rowOff>
    </xdr:to>
    <xdr:sp macro="" textlink="">
      <xdr:nvSpPr>
        <xdr:cNvPr id="43" name="Rectangle: Rounded Corners 42">
          <a:extLst>
            <a:ext uri="{FF2B5EF4-FFF2-40B4-BE49-F238E27FC236}">
              <a16:creationId xmlns:a16="http://schemas.microsoft.com/office/drawing/2014/main" id="{8DD7D6D9-9DFF-4E41-AE2F-B0FF88CF46E9}"/>
            </a:ext>
          </a:extLst>
        </xdr:cNvPr>
        <xdr:cNvSpPr/>
      </xdr:nvSpPr>
      <xdr:spPr>
        <a:xfrm>
          <a:off x="8731250" y="1695450"/>
          <a:ext cx="26289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a:t>
          </a:r>
          <a:r>
            <a:rPr lang="en-US" sz="1100" b="1" baseline="0">
              <a:solidFill>
                <a:sysClr val="windowText" lastClr="000000"/>
              </a:solidFill>
              <a:latin typeface="+mn-lt"/>
              <a:ea typeface="+mn-ea"/>
              <a:cs typeface="+mn-cs"/>
            </a:rPr>
            <a:t> Rating</a:t>
          </a:r>
          <a:r>
            <a:rPr lang="en-US" sz="1100" b="1">
              <a:solidFill>
                <a:sysClr val="windowText" lastClr="000000"/>
              </a:solidFill>
              <a:latin typeface="+mn-lt"/>
              <a:ea typeface="+mn-ea"/>
              <a:cs typeface="+mn-cs"/>
            </a:rPr>
            <a:t> and Reviews</a:t>
          </a:r>
          <a:endParaRPr lang="en-KE" sz="1100" b="1">
            <a:solidFill>
              <a:sysClr val="windowText" lastClr="000000"/>
            </a:solidFill>
            <a:latin typeface="+mn-lt"/>
            <a:ea typeface="+mn-ea"/>
            <a:cs typeface="+mn-cs"/>
          </a:endParaRPr>
        </a:p>
      </xdr:txBody>
    </xdr:sp>
    <xdr:clientData/>
  </xdr:twoCellAnchor>
  <xdr:twoCellAnchor>
    <xdr:from>
      <xdr:col>11</xdr:col>
      <xdr:colOff>266700</xdr:colOff>
      <xdr:row>21</xdr:row>
      <xdr:rowOff>69850</xdr:rowOff>
    </xdr:from>
    <xdr:to>
      <xdr:col>18</xdr:col>
      <xdr:colOff>508000</xdr:colOff>
      <xdr:row>31</xdr:row>
      <xdr:rowOff>134938</xdr:rowOff>
    </xdr:to>
    <xdr:graphicFrame macro="">
      <xdr:nvGraphicFramePr>
        <xdr:cNvPr id="46" name="Chart 45">
          <a:extLst>
            <a:ext uri="{FF2B5EF4-FFF2-40B4-BE49-F238E27FC236}">
              <a16:creationId xmlns:a16="http://schemas.microsoft.com/office/drawing/2014/main" id="{C38A210D-D3A0-45A2-9A44-E5F3995C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95250</xdr:colOff>
      <xdr:row>22</xdr:row>
      <xdr:rowOff>38100</xdr:rowOff>
    </xdr:from>
    <xdr:to>
      <xdr:col>10</xdr:col>
      <xdr:colOff>457200</xdr:colOff>
      <xdr:row>31</xdr:row>
      <xdr:rowOff>146050</xdr:rowOff>
    </xdr:to>
    <xdr:graphicFrame macro="">
      <xdr:nvGraphicFramePr>
        <xdr:cNvPr id="50" name="Chart 49">
          <a:extLst>
            <a:ext uri="{FF2B5EF4-FFF2-40B4-BE49-F238E27FC236}">
              <a16:creationId xmlns:a16="http://schemas.microsoft.com/office/drawing/2014/main" id="{1B64503B-08B7-4D5B-BA64-901D3527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165100</xdr:colOff>
      <xdr:row>0</xdr:row>
      <xdr:rowOff>95250</xdr:rowOff>
    </xdr:from>
    <xdr:to>
      <xdr:col>4</xdr:col>
      <xdr:colOff>165100</xdr:colOff>
      <xdr:row>6</xdr:row>
      <xdr:rowOff>6350</xdr:rowOff>
    </xdr:to>
    <mc:AlternateContent xmlns:mc="http://schemas.openxmlformats.org/markup-compatibility/2006" xmlns:a14="http://schemas.microsoft.com/office/drawing/2010/main">
      <mc:Choice Requires="a14">
        <xdr:graphicFrame macro="">
          <xdr:nvGraphicFramePr>
            <xdr:cNvPr id="9" name="Rating Gategory">
              <a:extLst>
                <a:ext uri="{FF2B5EF4-FFF2-40B4-BE49-F238E27FC236}">
                  <a16:creationId xmlns:a16="http://schemas.microsoft.com/office/drawing/2014/main" id="{9C7B77EE-71B1-27A0-C61E-9335416B5339}"/>
                </a:ext>
              </a:extLst>
            </xdr:cNvPr>
            <xdr:cNvGraphicFramePr/>
          </xdr:nvGraphicFramePr>
          <xdr:xfrm>
            <a:off x="0" y="0"/>
            <a:ext cx="0" cy="0"/>
          </xdr:xfrm>
          <a:graphic>
            <a:graphicData uri="http://schemas.microsoft.com/office/drawing/2010/slicer">
              <sle:slicer xmlns:sle="http://schemas.microsoft.com/office/drawing/2010/slicer" name="Rating Gategory"/>
            </a:graphicData>
          </a:graphic>
        </xdr:graphicFrame>
      </mc:Choice>
      <mc:Fallback xmlns="">
        <xdr:sp macro="" textlink="">
          <xdr:nvSpPr>
            <xdr:cNvPr id="0" name=""/>
            <xdr:cNvSpPr>
              <a:spLocks noTextEdit="1"/>
            </xdr:cNvSpPr>
          </xdr:nvSpPr>
          <xdr:spPr>
            <a:xfrm>
              <a:off x="6159500" y="95250"/>
              <a:ext cx="1828800" cy="1168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44450</xdr:colOff>
      <xdr:row>0</xdr:row>
      <xdr:rowOff>31750</xdr:rowOff>
    </xdr:from>
    <xdr:to>
      <xdr:col>8</xdr:col>
      <xdr:colOff>44450</xdr:colOff>
      <xdr:row>5</xdr:row>
      <xdr:rowOff>139700</xdr:rowOff>
    </xdr:to>
    <mc:AlternateContent xmlns:mc="http://schemas.openxmlformats.org/markup-compatibility/2006" xmlns:a14="http://schemas.microsoft.com/office/drawing/2010/main">
      <mc:Choice Requires="a14">
        <xdr:graphicFrame macro="">
          <xdr:nvGraphicFramePr>
            <xdr:cNvPr id="10" name="Discount Gategory">
              <a:extLst>
                <a:ext uri="{FF2B5EF4-FFF2-40B4-BE49-F238E27FC236}">
                  <a16:creationId xmlns:a16="http://schemas.microsoft.com/office/drawing/2014/main" id="{B974203C-FF89-5BBC-6815-76DE0AFB75D5}"/>
                </a:ext>
              </a:extLst>
            </xdr:cNvPr>
            <xdr:cNvGraphicFramePr/>
          </xdr:nvGraphicFramePr>
          <xdr:xfrm>
            <a:off x="0" y="0"/>
            <a:ext cx="0" cy="0"/>
          </xdr:xfrm>
          <a:graphic>
            <a:graphicData uri="http://schemas.microsoft.com/office/drawing/2010/slicer">
              <sle:slicer xmlns:sle="http://schemas.microsoft.com/office/drawing/2010/slicer" name="Discount Gategory"/>
            </a:graphicData>
          </a:graphic>
        </xdr:graphicFrame>
      </mc:Choice>
      <mc:Fallback xmlns="">
        <xdr:sp macro="" textlink="">
          <xdr:nvSpPr>
            <xdr:cNvPr id="0" name=""/>
            <xdr:cNvSpPr>
              <a:spLocks noTextEdit="1"/>
            </xdr:cNvSpPr>
          </xdr:nvSpPr>
          <xdr:spPr>
            <a:xfrm>
              <a:off x="8477250" y="31750"/>
              <a:ext cx="1828800" cy="11557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101600</xdr:colOff>
      <xdr:row>7</xdr:row>
      <xdr:rowOff>76200</xdr:rowOff>
    </xdr:from>
    <xdr:to>
      <xdr:col>8</xdr:col>
      <xdr:colOff>209550</xdr:colOff>
      <xdr:row>11</xdr:row>
      <xdr:rowOff>146050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8384694B-6109-A254-9A8E-3FC43FF610D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705600" y="1543050"/>
              <a:ext cx="3765550" cy="908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38</xdr:row>
      <xdr:rowOff>0</xdr:rowOff>
    </xdr:from>
    <xdr:to>
      <xdr:col>7</xdr:col>
      <xdr:colOff>548640</xdr:colOff>
      <xdr:row>38</xdr:row>
      <xdr:rowOff>12065</xdr:rowOff>
    </xdr:to>
    <xdr:grpSp>
      <xdr:nvGrpSpPr>
        <xdr:cNvPr id="2" name="Group 1">
          <a:extLst>
            <a:ext uri="{FF2B5EF4-FFF2-40B4-BE49-F238E27FC236}">
              <a16:creationId xmlns:a16="http://schemas.microsoft.com/office/drawing/2014/main" id="{2A3623BE-4764-44DC-A621-1BF8E26431F4}"/>
            </a:ext>
          </a:extLst>
        </xdr:cNvPr>
        <xdr:cNvGrpSpPr/>
      </xdr:nvGrpSpPr>
      <xdr:grpSpPr>
        <a:xfrm>
          <a:off x="0" y="6997700"/>
          <a:ext cx="4815840" cy="12065"/>
          <a:chOff x="0" y="0"/>
          <a:chExt cx="4815840" cy="12192"/>
        </a:xfrm>
      </xdr:grpSpPr>
      <xdr:sp macro="" textlink="">
        <xdr:nvSpPr>
          <xdr:cNvPr id="3" name="Shape 4581">
            <a:extLst>
              <a:ext uri="{FF2B5EF4-FFF2-40B4-BE49-F238E27FC236}">
                <a16:creationId xmlns:a16="http://schemas.microsoft.com/office/drawing/2014/main" id="{427293AE-0F53-901C-0C97-1BB2AB581102}"/>
              </a:ext>
            </a:extLst>
          </xdr:cNvPr>
          <xdr:cNvSpPr/>
        </xdr:nvSpPr>
        <xdr:spPr>
          <a:xfrm>
            <a:off x="0" y="0"/>
            <a:ext cx="4815840" cy="12192"/>
          </a:xfrm>
          <a:custGeom>
            <a:avLst/>
            <a:gdLst/>
            <a:ahLst/>
            <a:cxnLst/>
            <a:rect l="0" t="0" r="0" b="0"/>
            <a:pathLst>
              <a:path w="4815840" h="12192">
                <a:moveTo>
                  <a:pt x="0" y="0"/>
                </a:moveTo>
                <a:lnTo>
                  <a:pt x="4815840" y="0"/>
                </a:lnTo>
                <a:lnTo>
                  <a:pt x="4815840" y="12192"/>
                </a:lnTo>
                <a:lnTo>
                  <a:pt x="0" y="12192"/>
                </a:lnTo>
                <a:lnTo>
                  <a:pt x="0" y="0"/>
                </a:lnTo>
              </a:path>
            </a:pathLst>
          </a:custGeom>
          <a:ln w="0" cap="flat">
            <a:miter lim="127000"/>
          </a:ln>
        </xdr:spPr>
        <xdr:style>
          <a:lnRef idx="0">
            <a:srgbClr val="000000">
              <a:alpha val="0"/>
            </a:srgbClr>
          </a:lnRef>
          <a:fillRef idx="1">
            <a:srgbClr val="F8FAFF"/>
          </a:fillRef>
          <a:effectRef idx="0">
            <a:scrgbClr r="0" g="0" b="0"/>
          </a:effectRef>
          <a:fontRef idx="none"/>
        </xdr:style>
        <xdr:txBody>
          <a:bodyPr/>
          <a:lstStyle/>
          <a:p>
            <a:endParaRPr lang="en-KE"/>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472404976848" createdVersion="8" refreshedVersion="8" minRefreshableVersion="3" recordCount="108" xr:uid="{CFB3AA87-02A1-4774-8260-86F3F0B2F928}">
  <cacheSource type="worksheet">
    <worksheetSource name="Table1_1"/>
  </cacheSource>
  <cacheFields count="9">
    <cacheField name="Product" numFmtId="0">
      <sharedItems count="137">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Multifunctional Precision Screwdrivers" u="1"/>
        <s v="Mini Cordless Car Vacuum Cleaner " u="1"/>
        <s v="Weighing Scale " u="1"/>
        <s v="Home Small Air Humidifier " u="1"/>
        <s v="Cake Decorating Tool Set" u="1"/>
        <s v="Desk Foldable Fan " u="1"/>
        <s v="Screwdriver Repairing Tool Set" u="1"/>
        <s v="Crochet Hook Tool Set " u="1"/>
        <s v="Multifunction Laser Level" u="1"/>
        <s v="Spaceship Starry Sky Projector" u="1"/>
        <s v="Black Insulated Lunch Box" u="1"/>
        <s v="Cake Decorating Tool Set " u="1"/>
        <s v="Insulated Lunch Box Grey" u="1"/>
        <s v="Fortune Yarn Knitting Crochet Hooks " u="1"/>
        <s v="Pansies Yarn Knitting Crochet Hooks " u="1"/>
        <s v="Diy File Folder" u="1"/>
        <s v="Lasa Stainless Steel " u="1"/>
        <s v="Hot Melt Glue Sprayer " u="1"/>
        <s v="Solar Street Light " u="1"/>
        <s v="Pilates Cloth Bag " u="1"/>
        <s v="Handheld Electric Angle Grinder Tool " u="1"/>
        <s v="Vic Wireless Vacuum Cleaner " u="1"/>
        <s v="Portable Cordless Drill Set " u="1"/>
        <s v="Inflatable Sofa Chairs " u="1"/>
        <s v="Waterproof Spherical LED String Lights " u="1"/>
        <s v="Konka Healty Electric Kettle" u="1"/>
        <s v="Refrigerator Food Seal Pocket Fridge Bags" u="1"/>
        <s v="Led Solar Street Light" u="1"/>
        <s v="Cartoon Embroidered Mini Towel Bear Cotton Wash Cloth Hand " u="1"/>
      </sharedItems>
    </cacheField>
    <cacheField name="Current price" numFmtId="0">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0">
      <sharedItems containsSemiMixedTypes="0" containsString="0" containsNumber="1" containsInteger="1" minValue="24" maxValue="2585"/>
    </cacheField>
    <cacheField name="%Discount" numFmtId="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4">
        <rangePr startNum="0.01" endNum="0.64" groupInterval="0.1"/>
        <groupItems count="9">
          <s v="&lt;0.01"/>
          <s v="0.01-0.11"/>
          <s v="0.11-0.21"/>
          <s v="0.21-0.31"/>
          <s v="0.31-0.41"/>
          <s v="0.41-0.51"/>
          <s v="0.51-0.61"/>
          <s v="0.61-0.71"/>
          <s v="&gt;0.71"/>
        </groupItems>
      </fieldGroup>
    </cacheField>
    <cacheField name="Review" numFmtId="1">
      <sharedItems containsSemiMixedTypes="0" containsString="0" containsNumber="1" containsInteger="1" minValue="0" maxValue="69"/>
    </cacheField>
    <cacheField name="Rating" numFmtId="164">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fieldGroup base="6">
        <rangePr startNum="0" endNum="5"/>
        <groupItems count="7">
          <s v="&lt;0"/>
          <s v="0-1"/>
          <s v="1-2"/>
          <s v="2-3"/>
          <s v="3-4"/>
          <s v="4-5"/>
          <s v="&gt;5"/>
        </groupItems>
      </fieldGroup>
    </cacheField>
    <cacheField name="Rating Gategory" numFmtId="0">
      <sharedItems count="3">
        <s v="Excellent"/>
        <s v="Average"/>
        <s v="Poor"/>
      </sharedItems>
    </cacheField>
    <cacheField name="Discount Gategory" numFmtId="0">
      <sharedItems count="3">
        <s v="Medium Discount"/>
        <s v="High Discount"/>
        <s v="Low Discount"/>
      </sharedItems>
    </cacheField>
  </cacheFields>
  <extLst>
    <ext xmlns:x14="http://schemas.microsoft.com/office/spreadsheetml/2009/9/main" uri="{725AE2AE-9491-48be-B2B4-4EB974FC3084}">
      <x14:pivotCacheDefinition pivotCacheId="1429753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950"/>
    <n v="1525"/>
    <n v="575"/>
    <x v="0"/>
    <n v="2"/>
    <x v="0"/>
    <x v="0"/>
    <x v="0"/>
  </r>
  <r>
    <x v="1"/>
    <n v="527"/>
    <n v="999"/>
    <n v="472"/>
    <x v="1"/>
    <n v="14"/>
    <x v="1"/>
    <x v="0"/>
    <x v="1"/>
  </r>
  <r>
    <x v="2"/>
    <n v="2199"/>
    <n v="2923"/>
    <n v="724"/>
    <x v="2"/>
    <n v="24"/>
    <x v="2"/>
    <x v="0"/>
    <x v="0"/>
  </r>
  <r>
    <x v="3"/>
    <n v="1580"/>
    <n v="2499"/>
    <n v="919"/>
    <x v="3"/>
    <n v="7"/>
    <x v="3"/>
    <x v="0"/>
    <x v="0"/>
  </r>
  <r>
    <x v="4"/>
    <n v="1740"/>
    <n v="2356"/>
    <n v="616"/>
    <x v="4"/>
    <n v="5"/>
    <x v="4"/>
    <x v="0"/>
    <x v="0"/>
  </r>
  <r>
    <x v="5"/>
    <n v="2999"/>
    <n v="3290"/>
    <n v="291"/>
    <x v="5"/>
    <n v="15"/>
    <x v="5"/>
    <x v="1"/>
    <x v="2"/>
  </r>
  <r>
    <x v="6"/>
    <n v="2319"/>
    <n v="3032"/>
    <n v="713"/>
    <x v="6"/>
    <n v="55"/>
    <x v="2"/>
    <x v="0"/>
    <x v="0"/>
  </r>
  <r>
    <x v="7"/>
    <n v="988"/>
    <n v="1580"/>
    <n v="592"/>
    <x v="3"/>
    <n v="2"/>
    <x v="5"/>
    <x v="1"/>
    <x v="0"/>
  </r>
  <r>
    <x v="8"/>
    <n v="1274"/>
    <n v="2800"/>
    <n v="1526"/>
    <x v="7"/>
    <n v="5"/>
    <x v="4"/>
    <x v="0"/>
    <x v="1"/>
  </r>
  <r>
    <x v="9"/>
    <n v="1600"/>
    <n v="2929"/>
    <n v="1329"/>
    <x v="8"/>
    <n v="5"/>
    <x v="6"/>
    <x v="1"/>
    <x v="1"/>
  </r>
  <r>
    <x v="10"/>
    <n v="799"/>
    <n v="999"/>
    <n v="200"/>
    <x v="9"/>
    <n v="12"/>
    <x v="1"/>
    <x v="0"/>
    <x v="0"/>
  </r>
  <r>
    <x v="11"/>
    <n v="990"/>
    <n v="1500"/>
    <n v="510"/>
    <x v="10"/>
    <n v="39"/>
    <x v="3"/>
    <x v="0"/>
    <x v="0"/>
  </r>
  <r>
    <x v="12"/>
    <n v="552"/>
    <n v="1035"/>
    <n v="483"/>
    <x v="1"/>
    <n v="12"/>
    <x v="4"/>
    <x v="0"/>
    <x v="1"/>
  </r>
  <r>
    <x v="13"/>
    <n v="501"/>
    <n v="860"/>
    <n v="359"/>
    <x v="11"/>
    <n v="6"/>
    <x v="0"/>
    <x v="0"/>
    <x v="1"/>
  </r>
  <r>
    <x v="14"/>
    <n v="1680"/>
    <n v="2499"/>
    <n v="819"/>
    <x v="12"/>
    <n v="9"/>
    <x v="7"/>
    <x v="0"/>
    <x v="0"/>
  </r>
  <r>
    <x v="15"/>
    <n v="332"/>
    <n v="684"/>
    <n v="352"/>
    <x v="13"/>
    <n v="2"/>
    <x v="8"/>
    <x v="0"/>
    <x v="1"/>
  </r>
  <r>
    <x v="16"/>
    <n v="195"/>
    <n v="360"/>
    <n v="165"/>
    <x v="14"/>
    <n v="2"/>
    <x v="8"/>
    <x v="0"/>
    <x v="1"/>
  </r>
  <r>
    <x v="17"/>
    <n v="2025"/>
    <n v="3971"/>
    <n v="1946"/>
    <x v="15"/>
    <n v="3"/>
    <x v="8"/>
    <x v="0"/>
    <x v="1"/>
  </r>
  <r>
    <x v="18"/>
    <n v="2999"/>
    <n v="3699"/>
    <n v="700"/>
    <x v="16"/>
    <n v="5"/>
    <x v="2"/>
    <x v="0"/>
    <x v="2"/>
  </r>
  <r>
    <x v="19"/>
    <n v="998"/>
    <n v="1966"/>
    <n v="968"/>
    <x v="15"/>
    <n v="44"/>
    <x v="2"/>
    <x v="0"/>
    <x v="1"/>
  </r>
  <r>
    <x v="20"/>
    <n v="38"/>
    <n v="80"/>
    <n v="42"/>
    <x v="17"/>
    <n v="13"/>
    <x v="9"/>
    <x v="1"/>
    <x v="1"/>
  </r>
  <r>
    <x v="21"/>
    <n v="1860"/>
    <n v="3220"/>
    <n v="1360"/>
    <x v="11"/>
    <n v="0"/>
    <x v="10"/>
    <x v="2"/>
    <x v="1"/>
  </r>
  <r>
    <x v="22"/>
    <n v="880"/>
    <n v="1350"/>
    <n v="470"/>
    <x v="18"/>
    <n v="6"/>
    <x v="5"/>
    <x v="1"/>
    <x v="0"/>
  </r>
  <r>
    <x v="23"/>
    <n v="1650"/>
    <n v="2150"/>
    <n v="500"/>
    <x v="19"/>
    <n v="14"/>
    <x v="11"/>
    <x v="0"/>
    <x v="0"/>
  </r>
  <r>
    <x v="24"/>
    <n v="2048"/>
    <n v="4500"/>
    <n v="2452"/>
    <x v="20"/>
    <n v="7"/>
    <x v="12"/>
    <x v="0"/>
    <x v="1"/>
  </r>
  <r>
    <x v="25"/>
    <n v="420"/>
    <n v="647"/>
    <n v="227"/>
    <x v="18"/>
    <n v="49"/>
    <x v="2"/>
    <x v="0"/>
    <x v="0"/>
  </r>
  <r>
    <x v="26"/>
    <n v="2880"/>
    <n v="3520"/>
    <n v="640"/>
    <x v="21"/>
    <n v="12"/>
    <x v="6"/>
    <x v="1"/>
    <x v="2"/>
  </r>
  <r>
    <x v="27"/>
    <n v="1350"/>
    <n v="1990"/>
    <n v="640"/>
    <x v="22"/>
    <n v="13"/>
    <x v="6"/>
    <x v="1"/>
    <x v="0"/>
  </r>
  <r>
    <x v="28"/>
    <n v="1758"/>
    <n v="2499"/>
    <n v="741"/>
    <x v="23"/>
    <n v="20"/>
    <x v="1"/>
    <x v="0"/>
    <x v="0"/>
  </r>
  <r>
    <x v="29"/>
    <n v="2200"/>
    <n v="4080"/>
    <n v="1880"/>
    <x v="14"/>
    <n v="0"/>
    <x v="10"/>
    <x v="2"/>
    <x v="1"/>
  </r>
  <r>
    <x v="30"/>
    <n v="185"/>
    <n v="382"/>
    <n v="197"/>
    <x v="24"/>
    <n v="9"/>
    <x v="12"/>
    <x v="0"/>
    <x v="1"/>
  </r>
  <r>
    <x v="31"/>
    <n v="980"/>
    <n v="1490"/>
    <n v="510"/>
    <x v="10"/>
    <n v="12"/>
    <x v="3"/>
    <x v="0"/>
    <x v="0"/>
  </r>
  <r>
    <x v="32"/>
    <n v="1820"/>
    <n v="3490"/>
    <n v="1670"/>
    <x v="25"/>
    <n v="9"/>
    <x v="12"/>
    <x v="0"/>
    <x v="1"/>
  </r>
  <r>
    <x v="33"/>
    <n v="1940"/>
    <n v="2650"/>
    <n v="710"/>
    <x v="26"/>
    <n v="20"/>
    <x v="3"/>
    <x v="0"/>
    <x v="0"/>
  </r>
  <r>
    <x v="34"/>
    <n v="1980"/>
    <n v="2699"/>
    <n v="719"/>
    <x v="26"/>
    <n v="32"/>
    <x v="0"/>
    <x v="0"/>
    <x v="0"/>
  </r>
  <r>
    <x v="35"/>
    <n v="1620"/>
    <n v="2690"/>
    <n v="1070"/>
    <x v="27"/>
    <n v="1"/>
    <x v="8"/>
    <x v="0"/>
    <x v="0"/>
  </r>
  <r>
    <x v="36"/>
    <n v="171"/>
    <n v="360"/>
    <n v="189"/>
    <x v="17"/>
    <n v="2"/>
    <x v="8"/>
    <x v="0"/>
    <x v="1"/>
  </r>
  <r>
    <x v="37"/>
    <n v="389"/>
    <n v="656"/>
    <n v="267"/>
    <x v="28"/>
    <n v="36"/>
    <x v="12"/>
    <x v="0"/>
    <x v="1"/>
  </r>
  <r>
    <x v="38"/>
    <n v="2750"/>
    <n v="4471"/>
    <n v="1721"/>
    <x v="0"/>
    <n v="0"/>
    <x v="10"/>
    <x v="2"/>
    <x v="0"/>
  </r>
  <r>
    <x v="39"/>
    <n v="475"/>
    <n v="931"/>
    <n v="456"/>
    <x v="15"/>
    <n v="0"/>
    <x v="10"/>
    <x v="2"/>
    <x v="1"/>
  </r>
  <r>
    <x v="40"/>
    <n v="238"/>
    <n v="476"/>
    <n v="238"/>
    <x v="29"/>
    <n v="0"/>
    <x v="10"/>
    <x v="2"/>
    <x v="1"/>
  </r>
  <r>
    <x v="41"/>
    <n v="610"/>
    <n v="1060"/>
    <n v="450"/>
    <x v="11"/>
    <n v="0"/>
    <x v="10"/>
    <x v="2"/>
    <x v="1"/>
  </r>
  <r>
    <x v="42"/>
    <n v="2132"/>
    <n v="2169"/>
    <n v="37"/>
    <x v="30"/>
    <n v="0"/>
    <x v="10"/>
    <x v="2"/>
    <x v="2"/>
  </r>
  <r>
    <x v="43"/>
    <n v="999"/>
    <n v="2000"/>
    <n v="1001"/>
    <x v="29"/>
    <n v="0"/>
    <x v="10"/>
    <x v="2"/>
    <x v="1"/>
  </r>
  <r>
    <x v="44"/>
    <n v="1190"/>
    <n v="1785"/>
    <n v="595"/>
    <x v="12"/>
    <n v="0"/>
    <x v="10"/>
    <x v="2"/>
    <x v="0"/>
  </r>
  <r>
    <x v="45"/>
    <n v="671"/>
    <n v="1316"/>
    <n v="645"/>
    <x v="15"/>
    <n v="0"/>
    <x v="10"/>
    <x v="2"/>
    <x v="1"/>
  </r>
  <r>
    <x v="46"/>
    <n v="1200"/>
    <n v="1950"/>
    <n v="750"/>
    <x v="0"/>
    <n v="0"/>
    <x v="10"/>
    <x v="2"/>
    <x v="0"/>
  </r>
  <r>
    <x v="47"/>
    <n v="199"/>
    <n v="504"/>
    <n v="305"/>
    <x v="31"/>
    <n v="0"/>
    <x v="10"/>
    <x v="2"/>
    <x v="1"/>
  </r>
  <r>
    <x v="48"/>
    <n v="299"/>
    <n v="600"/>
    <n v="301"/>
    <x v="29"/>
    <n v="0"/>
    <x v="10"/>
    <x v="2"/>
    <x v="1"/>
  </r>
  <r>
    <x v="49"/>
    <n v="1660"/>
    <n v="1699"/>
    <n v="39"/>
    <x v="30"/>
    <n v="0"/>
    <x v="10"/>
    <x v="2"/>
    <x v="2"/>
  </r>
  <r>
    <x v="50"/>
    <n v="299"/>
    <n v="384"/>
    <n v="85"/>
    <x v="32"/>
    <n v="0"/>
    <x v="10"/>
    <x v="2"/>
    <x v="0"/>
  </r>
  <r>
    <x v="51"/>
    <n v="1459"/>
    <n v="1499"/>
    <n v="40"/>
    <x v="33"/>
    <n v="0"/>
    <x v="10"/>
    <x v="2"/>
    <x v="2"/>
  </r>
  <r>
    <x v="52"/>
    <n v="799"/>
    <n v="1343"/>
    <n v="544"/>
    <x v="28"/>
    <n v="0"/>
    <x v="10"/>
    <x v="2"/>
    <x v="1"/>
  </r>
  <r>
    <x v="53"/>
    <n v="499"/>
    <n v="900"/>
    <n v="401"/>
    <x v="8"/>
    <n v="0"/>
    <x v="10"/>
    <x v="2"/>
    <x v="1"/>
  </r>
  <r>
    <x v="54"/>
    <n v="699"/>
    <n v="1343"/>
    <n v="644"/>
    <x v="25"/>
    <n v="0"/>
    <x v="10"/>
    <x v="2"/>
    <x v="1"/>
  </r>
  <r>
    <x v="55"/>
    <n v="799"/>
    <n v="1567"/>
    <n v="768"/>
    <x v="15"/>
    <n v="0"/>
    <x v="10"/>
    <x v="2"/>
    <x v="1"/>
  </r>
  <r>
    <x v="56"/>
    <n v="2799"/>
    <n v="3810"/>
    <n v="1011"/>
    <x v="26"/>
    <n v="0"/>
    <x v="10"/>
    <x v="2"/>
    <x v="0"/>
  </r>
  <r>
    <x v="57"/>
    <n v="2170"/>
    <n v="2500"/>
    <n v="330"/>
    <x v="34"/>
    <n v="6"/>
    <x v="13"/>
    <x v="2"/>
    <x v="2"/>
  </r>
  <r>
    <x v="58"/>
    <n v="458"/>
    <n v="986"/>
    <n v="528"/>
    <x v="20"/>
    <n v="10"/>
    <x v="14"/>
    <x v="1"/>
    <x v="1"/>
  </r>
  <r>
    <x v="59"/>
    <n v="2115"/>
    <n v="4700"/>
    <n v="2585"/>
    <x v="7"/>
    <n v="13"/>
    <x v="15"/>
    <x v="2"/>
    <x v="1"/>
  </r>
  <r>
    <x v="60"/>
    <n v="445"/>
    <n v="873"/>
    <n v="428"/>
    <x v="15"/>
    <n v="69"/>
    <x v="16"/>
    <x v="2"/>
    <x v="1"/>
  </r>
  <r>
    <x v="61"/>
    <n v="325"/>
    <n v="680"/>
    <n v="355"/>
    <x v="24"/>
    <n v="15"/>
    <x v="17"/>
    <x v="2"/>
    <x v="1"/>
  </r>
  <r>
    <x v="62"/>
    <n v="1220"/>
    <n v="1555"/>
    <n v="335"/>
    <x v="32"/>
    <n v="16"/>
    <x v="18"/>
    <x v="2"/>
    <x v="0"/>
  </r>
  <r>
    <x v="63"/>
    <n v="990"/>
    <n v="1814"/>
    <n v="824"/>
    <x v="8"/>
    <n v="6"/>
    <x v="19"/>
    <x v="2"/>
    <x v="1"/>
  </r>
  <r>
    <x v="64"/>
    <n v="1000"/>
    <n v="2000"/>
    <n v="1000"/>
    <x v="29"/>
    <n v="7"/>
    <x v="20"/>
    <x v="2"/>
    <x v="1"/>
  </r>
  <r>
    <x v="65"/>
    <n v="3750"/>
    <n v="6143"/>
    <n v="2393"/>
    <x v="35"/>
    <n v="5"/>
    <x v="14"/>
    <x v="1"/>
    <x v="0"/>
  </r>
  <r>
    <x v="66"/>
    <n v="382"/>
    <n v="700"/>
    <n v="318"/>
    <x v="8"/>
    <n v="17"/>
    <x v="21"/>
    <x v="2"/>
    <x v="1"/>
  </r>
  <r>
    <x v="67"/>
    <n v="2300"/>
    <n v="3240"/>
    <n v="940"/>
    <x v="36"/>
    <n v="5"/>
    <x v="14"/>
    <x v="1"/>
    <x v="0"/>
  </r>
  <r>
    <x v="68"/>
    <n v="345"/>
    <n v="602"/>
    <n v="257"/>
    <x v="37"/>
    <n v="6"/>
    <x v="20"/>
    <x v="2"/>
    <x v="1"/>
  </r>
  <r>
    <x v="69"/>
    <n v="509"/>
    <n v="899"/>
    <n v="390"/>
    <x v="37"/>
    <n v="5"/>
    <x v="14"/>
    <x v="1"/>
    <x v="1"/>
  </r>
  <r>
    <x v="70"/>
    <n v="968"/>
    <n v="1814"/>
    <n v="846"/>
    <x v="1"/>
    <n v="6"/>
    <x v="19"/>
    <x v="2"/>
    <x v="1"/>
  </r>
  <r>
    <x v="71"/>
    <n v="1570"/>
    <n v="2988"/>
    <n v="1418"/>
    <x v="1"/>
    <n v="7"/>
    <x v="15"/>
    <x v="2"/>
    <x v="1"/>
  </r>
  <r>
    <x v="72"/>
    <n v="790"/>
    <n v="1485"/>
    <n v="695"/>
    <x v="1"/>
    <n v="0"/>
    <x v="10"/>
    <x v="2"/>
    <x v="1"/>
  </r>
  <r>
    <x v="73"/>
    <n v="690"/>
    <n v="1200"/>
    <n v="510"/>
    <x v="37"/>
    <n v="0"/>
    <x v="10"/>
    <x v="2"/>
    <x v="1"/>
  </r>
  <r>
    <x v="74"/>
    <n v="1732"/>
    <n v="1799"/>
    <n v="67"/>
    <x v="38"/>
    <n v="0"/>
    <x v="10"/>
    <x v="2"/>
    <x v="2"/>
  </r>
  <r>
    <x v="75"/>
    <n v="230"/>
    <n v="450"/>
    <n v="220"/>
    <x v="15"/>
    <n v="0"/>
    <x v="10"/>
    <x v="2"/>
    <x v="1"/>
  </r>
  <r>
    <x v="76"/>
    <n v="1189"/>
    <n v="2199"/>
    <n v="1010"/>
    <x v="14"/>
    <n v="1"/>
    <x v="14"/>
    <x v="1"/>
    <x v="1"/>
  </r>
  <r>
    <x v="77"/>
    <n v="979"/>
    <n v="1920"/>
    <n v="941"/>
    <x v="15"/>
    <n v="1"/>
    <x v="8"/>
    <x v="0"/>
    <x v="1"/>
  </r>
  <r>
    <x v="78"/>
    <n v="1460"/>
    <n v="2290"/>
    <n v="830"/>
    <x v="39"/>
    <n v="0"/>
    <x v="10"/>
    <x v="2"/>
    <x v="0"/>
  </r>
  <r>
    <x v="79"/>
    <n v="1666"/>
    <n v="1699"/>
    <n v="33"/>
    <x v="30"/>
    <n v="0"/>
    <x v="10"/>
    <x v="2"/>
    <x v="2"/>
  </r>
  <r>
    <x v="80"/>
    <n v="330"/>
    <n v="647"/>
    <n v="317"/>
    <x v="15"/>
    <n v="1"/>
    <x v="5"/>
    <x v="1"/>
    <x v="1"/>
  </r>
  <r>
    <x v="81"/>
    <n v="1466"/>
    <n v="1699"/>
    <n v="233"/>
    <x v="40"/>
    <n v="0"/>
    <x v="10"/>
    <x v="2"/>
    <x v="2"/>
  </r>
  <r>
    <x v="82"/>
    <n v="274"/>
    <n v="537"/>
    <n v="263"/>
    <x v="15"/>
    <n v="0"/>
    <x v="10"/>
    <x v="2"/>
    <x v="1"/>
  </r>
  <r>
    <x v="83"/>
    <n v="799"/>
    <n v="900"/>
    <n v="101"/>
    <x v="41"/>
    <n v="0"/>
    <x v="10"/>
    <x v="2"/>
    <x v="2"/>
  </r>
  <r>
    <x v="84"/>
    <n v="1468"/>
    <n v="1699"/>
    <n v="231"/>
    <x v="40"/>
    <n v="0"/>
    <x v="10"/>
    <x v="2"/>
    <x v="2"/>
  </r>
  <r>
    <x v="85"/>
    <n v="630"/>
    <n v="1100"/>
    <n v="470"/>
    <x v="37"/>
    <n v="0"/>
    <x v="10"/>
    <x v="2"/>
    <x v="1"/>
  </r>
  <r>
    <x v="86"/>
    <n v="850"/>
    <n v="1700"/>
    <n v="850"/>
    <x v="29"/>
    <n v="0"/>
    <x v="10"/>
    <x v="2"/>
    <x v="1"/>
  </r>
  <r>
    <x v="87"/>
    <n v="1300"/>
    <n v="2500"/>
    <n v="1200"/>
    <x v="25"/>
    <n v="0"/>
    <x v="10"/>
    <x v="2"/>
    <x v="1"/>
  </r>
  <r>
    <x v="88"/>
    <n v="105"/>
    <n v="200"/>
    <n v="95"/>
    <x v="25"/>
    <n v="0"/>
    <x v="10"/>
    <x v="2"/>
    <x v="1"/>
  </r>
  <r>
    <x v="89"/>
    <n v="899"/>
    <n v="1699"/>
    <n v="800"/>
    <x v="1"/>
    <n v="0"/>
    <x v="10"/>
    <x v="2"/>
    <x v="1"/>
  </r>
  <r>
    <x v="90"/>
    <n v="1200"/>
    <n v="2400"/>
    <n v="1200"/>
    <x v="29"/>
    <n v="0"/>
    <x v="10"/>
    <x v="2"/>
    <x v="1"/>
  </r>
  <r>
    <x v="91"/>
    <n v="1526"/>
    <n v="1660"/>
    <n v="134"/>
    <x v="42"/>
    <n v="0"/>
    <x v="10"/>
    <x v="2"/>
    <x v="2"/>
  </r>
  <r>
    <x v="92"/>
    <n v="1462"/>
    <n v="1499"/>
    <n v="37"/>
    <x v="30"/>
    <n v="0"/>
    <x v="10"/>
    <x v="2"/>
    <x v="2"/>
  </r>
  <r>
    <x v="93"/>
    <n v="248"/>
    <n v="486"/>
    <n v="238"/>
    <x v="15"/>
    <n v="0"/>
    <x v="10"/>
    <x v="2"/>
    <x v="1"/>
  </r>
  <r>
    <x v="94"/>
    <n v="3546"/>
    <n v="3699"/>
    <n v="153"/>
    <x v="38"/>
    <n v="0"/>
    <x v="10"/>
    <x v="2"/>
    <x v="2"/>
  </r>
  <r>
    <x v="95"/>
    <n v="525"/>
    <n v="1029"/>
    <n v="504"/>
    <x v="15"/>
    <n v="0"/>
    <x v="10"/>
    <x v="2"/>
    <x v="1"/>
  </r>
  <r>
    <x v="96"/>
    <n v="1080"/>
    <n v="1874"/>
    <n v="794"/>
    <x v="11"/>
    <n v="0"/>
    <x v="10"/>
    <x v="2"/>
    <x v="1"/>
  </r>
  <r>
    <x v="97"/>
    <n v="3640"/>
    <n v="4588"/>
    <n v="948"/>
    <x v="43"/>
    <n v="1"/>
    <x v="8"/>
    <x v="0"/>
    <x v="0"/>
  </r>
  <r>
    <x v="98"/>
    <n v="1420"/>
    <n v="2420"/>
    <n v="1000"/>
    <x v="28"/>
    <n v="0"/>
    <x v="10"/>
    <x v="2"/>
    <x v="1"/>
  </r>
  <r>
    <x v="99"/>
    <n v="1875"/>
    <n v="1899"/>
    <n v="24"/>
    <x v="44"/>
    <n v="0"/>
    <x v="10"/>
    <x v="2"/>
    <x v="2"/>
  </r>
  <r>
    <x v="100"/>
    <n v="198"/>
    <n v="260"/>
    <n v="62"/>
    <x v="6"/>
    <n v="0"/>
    <x v="10"/>
    <x v="2"/>
    <x v="0"/>
  </r>
  <r>
    <x v="101"/>
    <n v="1150"/>
    <n v="1737"/>
    <n v="587"/>
    <x v="10"/>
    <n v="0"/>
    <x v="10"/>
    <x v="2"/>
    <x v="0"/>
  </r>
  <r>
    <x v="102"/>
    <n v="1190"/>
    <n v="1810"/>
    <n v="620"/>
    <x v="10"/>
    <n v="0"/>
    <x v="10"/>
    <x v="2"/>
    <x v="0"/>
  </r>
  <r>
    <x v="103"/>
    <n v="1658"/>
    <n v="1699"/>
    <n v="41"/>
    <x v="30"/>
    <n v="0"/>
    <x v="10"/>
    <x v="2"/>
    <x v="2"/>
  </r>
  <r>
    <x v="104"/>
    <n v="1768"/>
    <n v="1799"/>
    <n v="31"/>
    <x v="30"/>
    <n v="0"/>
    <x v="10"/>
    <x v="2"/>
    <x v="2"/>
  </r>
  <r>
    <x v="105"/>
    <n v="199"/>
    <n v="553"/>
    <n v="354"/>
    <x v="45"/>
    <n v="0"/>
    <x v="10"/>
    <x v="2"/>
    <x v="1"/>
  </r>
  <r>
    <x v="106"/>
    <n v="450"/>
    <n v="900"/>
    <n v="450"/>
    <x v="29"/>
    <n v="1"/>
    <x v="22"/>
    <x v="2"/>
    <x v="1"/>
  </r>
  <r>
    <x v="107"/>
    <n v="169"/>
    <n v="320"/>
    <n v="151"/>
    <x v="1"/>
    <n v="0"/>
    <x v="1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5ABCA-41D8-4903-9665-63FD4105B9F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abels">
  <location ref="A116:B225"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dataField="1"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v="130"/>
    </i>
    <i>
      <x v="16"/>
    </i>
    <i>
      <x v="133"/>
    </i>
    <i>
      <x v="60"/>
    </i>
    <i>
      <x v="124"/>
    </i>
    <i>
      <x v="76"/>
    </i>
    <i>
      <x v="61"/>
    </i>
    <i>
      <x v="128"/>
    </i>
    <i>
      <x v="67"/>
    </i>
    <i>
      <x v="70"/>
    </i>
    <i>
      <x v="87"/>
    </i>
    <i>
      <x v="65"/>
    </i>
    <i>
      <x v="3"/>
    </i>
    <i>
      <x v="131"/>
    </i>
    <i>
      <x v="14"/>
    </i>
    <i>
      <x v="112"/>
    </i>
    <i>
      <x v="47"/>
    </i>
    <i>
      <x v="1"/>
    </i>
    <i>
      <x v="109"/>
    </i>
    <i>
      <x v="63"/>
    </i>
    <i>
      <x v="122"/>
    </i>
    <i>
      <x v="123"/>
    </i>
    <i>
      <x v="121"/>
    </i>
    <i>
      <x v="15"/>
    </i>
    <i>
      <x v="88"/>
    </i>
    <i>
      <x v="119"/>
    </i>
    <i>
      <x v="116"/>
    </i>
    <i>
      <x v="110"/>
    </i>
    <i>
      <x v="22"/>
    </i>
    <i>
      <x v="5"/>
    </i>
    <i>
      <x v="111"/>
    </i>
    <i>
      <x v="132"/>
    </i>
    <i>
      <x v="68"/>
    </i>
    <i>
      <x v="93"/>
    </i>
    <i>
      <x v="50"/>
    </i>
    <i>
      <x v="38"/>
    </i>
    <i>
      <x v="7"/>
    </i>
    <i>
      <x v="118"/>
    </i>
    <i>
      <x v="8"/>
    </i>
    <i>
      <x v="126"/>
    </i>
    <i>
      <x v="29"/>
    </i>
    <i>
      <x v="4"/>
    </i>
    <i>
      <x v="21"/>
    </i>
    <i>
      <x v="26"/>
    </i>
    <i>
      <x v="20"/>
    </i>
    <i>
      <x v="136"/>
    </i>
    <i>
      <x v="43"/>
    </i>
    <i>
      <x v="98"/>
    </i>
    <i>
      <x v="125"/>
    </i>
    <i>
      <x v="135"/>
    </i>
    <i>
      <x v="100"/>
    </i>
    <i>
      <x v="94"/>
    </i>
    <i>
      <x v="18"/>
    </i>
    <i>
      <x v="2"/>
    </i>
    <i>
      <x v="103"/>
    </i>
    <i>
      <x v="79"/>
    </i>
    <i>
      <x v="83"/>
    </i>
    <i>
      <x v="101"/>
    </i>
    <i>
      <x v="113"/>
    </i>
    <i>
      <x v="24"/>
    </i>
    <i>
      <x v="129"/>
    </i>
    <i>
      <x v="108"/>
    </i>
    <i>
      <x v="115"/>
    </i>
    <i>
      <x v="77"/>
    </i>
    <i>
      <x v="86"/>
    </i>
    <i>
      <x v="120"/>
    </i>
    <i>
      <x v="6"/>
    </i>
    <i>
      <x v="117"/>
    </i>
    <i>
      <x v="39"/>
    </i>
    <i>
      <x v="44"/>
    </i>
    <i>
      <x v="35"/>
    </i>
    <i>
      <x v="9"/>
    </i>
    <i>
      <x v="74"/>
    </i>
    <i>
      <x v="28"/>
    </i>
    <i>
      <x v="12"/>
    </i>
    <i>
      <x v="27"/>
    </i>
    <i>
      <x v="114"/>
    </i>
    <i>
      <x v="69"/>
    </i>
    <i>
      <x v="78"/>
    </i>
    <i>
      <x v="13"/>
    </i>
    <i>
      <x v="102"/>
    </i>
    <i>
      <x v="95"/>
    </i>
    <i>
      <x v="80"/>
    </i>
    <i>
      <x v="107"/>
    </i>
    <i>
      <x/>
    </i>
    <i>
      <x v="62"/>
    </i>
    <i>
      <x v="23"/>
    </i>
    <i>
      <x v="25"/>
    </i>
    <i>
      <x v="58"/>
    </i>
    <i>
      <x v="89"/>
    </i>
    <i>
      <x v="48"/>
    </i>
    <i>
      <x v="55"/>
    </i>
    <i>
      <x v="104"/>
    </i>
    <i>
      <x v="32"/>
    </i>
    <i>
      <x v="17"/>
    </i>
    <i>
      <x v="36"/>
    </i>
    <i>
      <x v="41"/>
    </i>
    <i>
      <x v="11"/>
    </i>
    <i>
      <x v="72"/>
    </i>
    <i>
      <x v="19"/>
    </i>
    <i>
      <x v="127"/>
    </i>
    <i>
      <x v="49"/>
    </i>
    <i>
      <x v="82"/>
    </i>
    <i>
      <x v="40"/>
    </i>
    <i>
      <x v="31"/>
    </i>
    <i>
      <x v="134"/>
    </i>
    <i>
      <x v="92"/>
    </i>
    <i>
      <x v="10"/>
    </i>
    <i t="grand">
      <x/>
    </i>
  </rowItems>
  <colItems count="1">
    <i/>
  </colItems>
  <dataFields count="1">
    <dataField name="Sum of old price"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BC2841-EEB0-4222-98C5-ED6CD265496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ion Labels">
  <location ref="A4:E113" firstHeaderRow="0" firstDataRow="1" firstDataCol="1"/>
  <pivotFields count="9">
    <pivotField axis="axisRow" showAll="0">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pivotField>
    <pivotField dataField="1" showAll="0"/>
    <pivotField dataField="1" numFmtId="1" showAll="0"/>
    <pivotField showAll="0"/>
    <pivotField dataField="1" showAll="0"/>
    <pivotField numFmtId="1" showAll="0"/>
    <pivotField dataField="1"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5"/>
    </i>
    <i>
      <x v="36"/>
    </i>
    <i>
      <x v="38"/>
    </i>
    <i>
      <x v="39"/>
    </i>
    <i>
      <x v="40"/>
    </i>
    <i>
      <x v="41"/>
    </i>
    <i>
      <x v="43"/>
    </i>
    <i>
      <x v="44"/>
    </i>
    <i>
      <x v="47"/>
    </i>
    <i>
      <x v="48"/>
    </i>
    <i>
      <x v="49"/>
    </i>
    <i>
      <x v="50"/>
    </i>
    <i>
      <x v="55"/>
    </i>
    <i>
      <x v="58"/>
    </i>
    <i>
      <x v="60"/>
    </i>
    <i>
      <x v="61"/>
    </i>
    <i>
      <x v="62"/>
    </i>
    <i>
      <x v="63"/>
    </i>
    <i>
      <x v="65"/>
    </i>
    <i>
      <x v="67"/>
    </i>
    <i>
      <x v="68"/>
    </i>
    <i>
      <x v="69"/>
    </i>
    <i>
      <x v="70"/>
    </i>
    <i>
      <x v="72"/>
    </i>
    <i>
      <x v="74"/>
    </i>
    <i>
      <x v="76"/>
    </i>
    <i>
      <x v="77"/>
    </i>
    <i>
      <x v="78"/>
    </i>
    <i>
      <x v="79"/>
    </i>
    <i>
      <x v="80"/>
    </i>
    <i>
      <x v="82"/>
    </i>
    <i>
      <x v="83"/>
    </i>
    <i>
      <x v="86"/>
    </i>
    <i>
      <x v="87"/>
    </i>
    <i>
      <x v="88"/>
    </i>
    <i>
      <x v="89"/>
    </i>
    <i>
      <x v="92"/>
    </i>
    <i>
      <x v="93"/>
    </i>
    <i>
      <x v="94"/>
    </i>
    <i>
      <x v="95"/>
    </i>
    <i>
      <x v="98"/>
    </i>
    <i>
      <x v="100"/>
    </i>
    <i>
      <x v="101"/>
    </i>
    <i>
      <x v="102"/>
    </i>
    <i>
      <x v="103"/>
    </i>
    <i>
      <x v="104"/>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Fields count="1">
    <field x="-2"/>
  </colFields>
  <colItems count="4">
    <i>
      <x/>
    </i>
    <i i="1">
      <x v="1"/>
    </i>
    <i i="2">
      <x v="2"/>
    </i>
    <i i="3">
      <x v="3"/>
    </i>
  </colItems>
  <dataFields count="4">
    <dataField name="Average of Rating" fld="6" subtotal="average" baseField="0" baseItem="49" numFmtId="164"/>
    <dataField name="Average of old price" fld="2" subtotal="average" baseField="0" baseItem="0" numFmtId="1"/>
    <dataField name="Average of Current price" fld="1" subtotal="average" baseField="0" baseItem="49"/>
    <dataField name="Average of %Discount" fld="4" subtotal="average" baseField="0" baseItem="4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B10E84-FDB6-49C9-AC55-C3B139FB4F20}" name="PivotTable6"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Ratings">
  <location ref="G36:H44" firstHeaderRow="1" firstDataRow="1" firstDataCol="1"/>
  <pivotFields count="9">
    <pivotField axis="axisRow" showAll="0" measureFilter="1" sortType="descending">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items count="8">
        <item x="0"/>
        <item x="1"/>
        <item x="2"/>
        <item x="3"/>
        <item x="4"/>
        <item x="5"/>
        <item x="6"/>
        <item t="default"/>
      </items>
    </pivotField>
    <pivotField showAll="0">
      <items count="4">
        <item x="1"/>
        <item x="0"/>
        <item x="2"/>
        <item t="default"/>
      </items>
    </pivotField>
    <pivotField showAll="0">
      <items count="4">
        <item x="1"/>
        <item x="2"/>
        <item x="0"/>
        <item t="default"/>
      </items>
    </pivotField>
  </pivotFields>
  <rowFields count="1">
    <field x="0"/>
  </rowFields>
  <rowItems count="8">
    <i>
      <x v="39"/>
    </i>
    <i>
      <x v="81"/>
    </i>
    <i>
      <x v="78"/>
    </i>
    <i>
      <x v="43"/>
    </i>
    <i>
      <x v="106"/>
    </i>
    <i>
      <x v="55"/>
    </i>
    <i>
      <x v="63"/>
    </i>
    <i t="grand">
      <x/>
    </i>
  </rowItems>
  <colItems count="1">
    <i/>
  </colItems>
  <dataFields count="1">
    <dataField name="Max of Rating" fld="6" subtotal="max"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8933F1-8D9A-429B-9678-72E20535A5C0}" name="PivotTable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Ratings">
  <location ref="A34" firstHeaderRow="0" firstDataRow="0" firstDataCol="0"/>
  <pivotFields count="9">
    <pivotField axis="axisRow"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dataField="1"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9"/>
    </i>
    <i>
      <x v="50"/>
    </i>
    <i>
      <x v="52"/>
    </i>
    <i>
      <x v="53"/>
    </i>
    <i>
      <x v="54"/>
    </i>
    <i>
      <x v="55"/>
    </i>
    <i>
      <x v="56"/>
    </i>
    <i>
      <x v="58"/>
    </i>
    <i>
      <x v="59"/>
    </i>
    <i>
      <x v="61"/>
    </i>
    <i>
      <x v="63"/>
    </i>
    <i>
      <x v="64"/>
    </i>
    <i>
      <x v="65"/>
    </i>
    <i>
      <x v="66"/>
    </i>
    <i>
      <x v="67"/>
    </i>
    <i>
      <x v="69"/>
    </i>
    <i>
      <x v="73"/>
    </i>
    <i>
      <x v="76"/>
    </i>
    <i>
      <x v="78"/>
    </i>
    <i>
      <x v="79"/>
    </i>
    <i>
      <x v="80"/>
    </i>
    <i>
      <x v="81"/>
    </i>
    <i>
      <x v="82"/>
    </i>
    <i>
      <x v="83"/>
    </i>
    <i>
      <x v="85"/>
    </i>
    <i>
      <x v="86"/>
    </i>
    <i>
      <x v="87"/>
    </i>
    <i>
      <x v="89"/>
    </i>
    <i>
      <x v="90"/>
    </i>
    <i>
      <x v="91"/>
    </i>
    <i>
      <x v="92"/>
    </i>
    <i>
      <x v="93"/>
    </i>
    <i>
      <x v="95"/>
    </i>
    <i>
      <x v="97"/>
    </i>
    <i>
      <x v="98"/>
    </i>
    <i>
      <x v="100"/>
    </i>
    <i>
      <x v="101"/>
    </i>
    <i>
      <x v="102"/>
    </i>
    <i>
      <x v="103"/>
    </i>
    <i>
      <x v="104"/>
    </i>
    <i>
      <x v="106"/>
    </i>
    <i>
      <x v="107"/>
    </i>
    <i>
      <x v="109"/>
    </i>
    <i>
      <x v="111"/>
    </i>
    <i>
      <x v="112"/>
    </i>
    <i>
      <x v="113"/>
    </i>
    <i>
      <x v="114"/>
    </i>
    <i>
      <x v="115"/>
    </i>
    <i>
      <x v="116"/>
    </i>
    <i>
      <x v="119"/>
    </i>
    <i>
      <x v="120"/>
    </i>
    <i>
      <x v="121"/>
    </i>
    <i>
      <x v="122"/>
    </i>
    <i>
      <x v="125"/>
    </i>
    <i>
      <x v="127"/>
    </i>
    <i>
      <x v="128"/>
    </i>
    <i>
      <x v="129"/>
    </i>
    <i>
      <x v="130"/>
    </i>
    <i>
      <x v="131"/>
    </i>
    <i>
      <x v="132"/>
    </i>
    <i>
      <x v="135"/>
    </i>
    <i>
      <x v="136"/>
    </i>
    <i t="grand">
      <x/>
    </i>
  </rowItems>
  <colItems count="1">
    <i/>
  </colItems>
  <dataFields count="1">
    <dataField name="Count of Rating"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815C0B-E04F-40B9-A2C2-E0492909DCF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Gategory">
  <location ref="A37:B146" firstHeaderRow="1" firstDataRow="1" firstDataCol="1"/>
  <pivotFields count="9">
    <pivotField axis="axisRow" showAll="0" sortType="a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0"/>
  </rowFields>
  <rowItems count="109">
    <i>
      <x v="44"/>
    </i>
    <i>
      <x v="2"/>
    </i>
    <i>
      <x v="136"/>
    </i>
    <i>
      <x v="4"/>
    </i>
    <i>
      <x v="70"/>
    </i>
    <i>
      <x v="6"/>
    </i>
    <i>
      <x v="72"/>
    </i>
    <i>
      <x v="11"/>
    </i>
    <i>
      <x v="74"/>
    </i>
    <i>
      <x v="14"/>
    </i>
    <i>
      <x v="76"/>
    </i>
    <i>
      <x v="18"/>
    </i>
    <i>
      <x v="77"/>
    </i>
    <i>
      <x v="21"/>
    </i>
    <i>
      <x v="79"/>
    </i>
    <i>
      <x v="24"/>
    </i>
    <i>
      <x v="80"/>
    </i>
    <i>
      <x v="28"/>
    </i>
    <i>
      <x v="83"/>
    </i>
    <i>
      <x v="32"/>
    </i>
    <i>
      <x v="86"/>
    </i>
    <i>
      <x v="36"/>
    </i>
    <i>
      <x v="88"/>
    </i>
    <i>
      <x v="39"/>
    </i>
    <i>
      <x v="92"/>
    </i>
    <i>
      <x v="43"/>
    </i>
    <i>
      <x v="93"/>
    </i>
    <i>
      <x v="134"/>
    </i>
    <i>
      <x v="94"/>
    </i>
    <i>
      <x v="9"/>
    </i>
    <i>
      <x v="95"/>
    </i>
    <i>
      <x v="17"/>
    </i>
    <i>
      <x v="98"/>
    </i>
    <i>
      <x v="22"/>
    </i>
    <i>
      <x v="100"/>
    </i>
    <i>
      <x v="31"/>
    </i>
    <i>
      <x v="101"/>
    </i>
    <i>
      <x v="38"/>
    </i>
    <i>
      <x v="41"/>
    </i>
    <i>
      <x v="135"/>
    </i>
    <i>
      <x v="5"/>
    </i>
    <i>
      <x v="103"/>
    </i>
    <i>
      <x v="19"/>
    </i>
    <i>
      <x v="124"/>
    </i>
    <i>
      <x v="35"/>
    </i>
    <i>
      <x v="125"/>
    </i>
    <i>
      <x v="13"/>
    </i>
    <i>
      <x v="126"/>
    </i>
    <i>
      <x v="132"/>
    </i>
    <i>
      <x v="127"/>
    </i>
    <i>
      <x v="27"/>
    </i>
    <i>
      <x v="128"/>
    </i>
    <i>
      <x v="102"/>
    </i>
    <i>
      <x v="47"/>
    </i>
    <i>
      <x v="16"/>
    </i>
    <i>
      <x v="26"/>
    </i>
    <i>
      <x v="20"/>
    </i>
    <i>
      <x v="7"/>
    </i>
    <i>
      <x v="104"/>
    </i>
    <i>
      <x v="15"/>
    </i>
    <i>
      <x v="23"/>
    </i>
    <i>
      <x v="58"/>
    </i>
    <i>
      <x/>
    </i>
    <i>
      <x v="129"/>
    </i>
    <i>
      <x v="68"/>
    </i>
    <i>
      <x v="78"/>
    </i>
    <i>
      <x v="107"/>
    </i>
    <i>
      <x v="131"/>
    </i>
    <i>
      <x v="130"/>
    </i>
    <i>
      <x v="10"/>
    </i>
    <i>
      <x v="1"/>
    </i>
    <i>
      <x v="118"/>
    </i>
    <i>
      <x v="87"/>
    </i>
    <i>
      <x v="3"/>
    </i>
    <i>
      <x v="113"/>
    </i>
    <i>
      <x v="55"/>
    </i>
    <i>
      <x v="117"/>
    </i>
    <i>
      <x v="69"/>
    </i>
    <i>
      <x v="114"/>
    </i>
    <i>
      <x v="119"/>
    </i>
    <i>
      <x v="116"/>
    </i>
    <i>
      <x v="65"/>
    </i>
    <i>
      <x v="60"/>
    </i>
    <i>
      <x v="89"/>
    </i>
    <i>
      <x v="49"/>
    </i>
    <i>
      <x v="50"/>
    </i>
    <i>
      <x v="122"/>
    </i>
    <i>
      <x v="108"/>
    </i>
    <i>
      <x v="62"/>
    </i>
    <i>
      <x v="8"/>
    </i>
    <i>
      <x v="48"/>
    </i>
    <i>
      <x v="109"/>
    </i>
    <i>
      <x v="67"/>
    </i>
    <i>
      <x v="112"/>
    </i>
    <i>
      <x v="121"/>
    </i>
    <i>
      <x v="115"/>
    </i>
    <i>
      <x v="120"/>
    </i>
    <i>
      <x v="110"/>
    </i>
    <i>
      <x v="12"/>
    </i>
    <i>
      <x v="111"/>
    </i>
    <i>
      <x v="63"/>
    </i>
    <i>
      <x v="82"/>
    </i>
    <i>
      <x v="133"/>
    </i>
    <i>
      <x v="25"/>
    </i>
    <i>
      <x v="40"/>
    </i>
    <i>
      <x v="123"/>
    </i>
    <i>
      <x v="29"/>
    </i>
    <i>
      <x v="61"/>
    </i>
    <i t="grand">
      <x/>
    </i>
  </rowItems>
  <colItems count="1">
    <i/>
  </colItems>
  <dataFields count="1">
    <dataField name="Min of Rating" fld="6" subtotal="min" baseField="0" baseItem="123"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E877BF-D805-4C66-99B6-EDDFBAC2D9E5}" name="PivotTable1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location ref="A4:B12" firstHeaderRow="1"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axis="axisRow" showAll="0">
      <items count="10">
        <item x="0"/>
        <item x="1"/>
        <item x="2"/>
        <item x="3"/>
        <item x="4"/>
        <item x="5"/>
        <item x="6"/>
        <item x="7"/>
        <item x="8"/>
        <item t="default"/>
      </items>
    </pivotField>
    <pivotField dataField="1" numFmtId="1" showAll="0"/>
    <pivotField numFmtId="164" showAll="0"/>
    <pivotField showAll="0">
      <items count="4">
        <item x="1"/>
        <item x="0"/>
        <item x="2"/>
        <item t="default"/>
      </items>
    </pivotField>
    <pivotField showAll="0">
      <items count="4">
        <item x="1"/>
        <item x="2"/>
        <item x="0"/>
        <item t="default"/>
      </items>
    </pivotField>
  </pivotFields>
  <rowFields count="1">
    <field x="4"/>
  </rowFields>
  <rowItems count="8">
    <i>
      <x v="1"/>
    </i>
    <i>
      <x v="2"/>
    </i>
    <i>
      <x v="3"/>
    </i>
    <i>
      <x v="4"/>
    </i>
    <i>
      <x v="5"/>
    </i>
    <i>
      <x v="6"/>
    </i>
    <i>
      <x v="7"/>
    </i>
    <i t="grand">
      <x/>
    </i>
  </rowItems>
  <colItems count="1">
    <i/>
  </colItems>
  <dataFields count="1">
    <dataField name="Average of Review" fld="5" subtotal="average" baseField="4" baseItem="1" numFmtId="1"/>
  </dataFields>
  <formats count="1">
    <format dxfId="15">
      <pivotArea dataOnly="0" labelOnly="1" fieldPosition="0">
        <references count="1">
          <reference field="4" count="7">
            <x v="1"/>
            <x v="2"/>
            <x v="3"/>
            <x v="4"/>
            <x v="5"/>
            <x v="6"/>
            <x v="7"/>
          </reference>
        </references>
      </pivotArea>
    </format>
  </formats>
  <chartFormats count="3">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0B0649-CB77-49D9-9F77-466524B1CB1A}" name="PivotTable12"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Ratings">
  <location ref="A15:B20" firstHeaderRow="1"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axis="axisRow" numFmtId="164" showAll="0">
      <items count="8">
        <item x="0"/>
        <item x="1"/>
        <item x="2"/>
        <item x="3"/>
        <item x="4"/>
        <item x="5"/>
        <item x="6"/>
        <item t="default"/>
      </items>
    </pivotField>
    <pivotField showAll="0">
      <items count="4">
        <item x="1"/>
        <item x="0"/>
        <item x="2"/>
        <item t="default"/>
      </items>
    </pivotField>
    <pivotField showAll="0">
      <items count="4">
        <item x="1"/>
        <item x="2"/>
        <item x="0"/>
        <item t="default"/>
      </items>
    </pivotField>
  </pivotFields>
  <rowFields count="1">
    <field x="6"/>
  </rowFields>
  <rowItems count="5">
    <i>
      <x v="1"/>
    </i>
    <i>
      <x v="3"/>
    </i>
    <i>
      <x v="4"/>
    </i>
    <i>
      <x v="5"/>
    </i>
    <i t="grand">
      <x/>
    </i>
  </rowItems>
  <colItems count="1">
    <i/>
  </colItems>
  <dataFields count="1">
    <dataField name="Sum of Review" fld="5"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0C68A0-0D03-44C4-93FE-6F5F4FD41EFE}" name="PivotTable5"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Discount Gategory">
  <location ref="A23" firstHeaderRow="0" firstDataRow="0" firstDataCol="0"/>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0"/>
  </rowFields>
  <rowItems count="109">
    <i>
      <x v="61"/>
    </i>
    <i>
      <x v="133"/>
    </i>
    <i>
      <x v="123"/>
    </i>
    <i>
      <x v="25"/>
    </i>
    <i>
      <x v="82"/>
    </i>
    <i>
      <x v="29"/>
    </i>
    <i>
      <x v="40"/>
    </i>
    <i>
      <x v="111"/>
    </i>
    <i>
      <x v="12"/>
    </i>
    <i>
      <x v="63"/>
    </i>
    <i>
      <x v="115"/>
    </i>
    <i>
      <x v="121"/>
    </i>
    <i>
      <x v="120"/>
    </i>
    <i>
      <x v="110"/>
    </i>
    <i>
      <x v="109"/>
    </i>
    <i>
      <x v="112"/>
    </i>
    <i>
      <x v="48"/>
    </i>
    <i>
      <x v="8"/>
    </i>
    <i>
      <x v="67"/>
    </i>
    <i>
      <x v="122"/>
    </i>
    <i>
      <x v="108"/>
    </i>
    <i>
      <x v="62"/>
    </i>
    <i>
      <x v="50"/>
    </i>
    <i>
      <x v="65"/>
    </i>
    <i>
      <x v="60"/>
    </i>
    <i>
      <x v="89"/>
    </i>
    <i>
      <x v="49"/>
    </i>
    <i>
      <x v="116"/>
    </i>
    <i>
      <x v="119"/>
    </i>
    <i>
      <x v="114"/>
    </i>
    <i>
      <x v="69"/>
    </i>
    <i>
      <x v="117"/>
    </i>
    <i>
      <x v="113"/>
    </i>
    <i>
      <x v="3"/>
    </i>
    <i>
      <x v="55"/>
    </i>
    <i>
      <x v="118"/>
    </i>
    <i>
      <x v="1"/>
    </i>
    <i>
      <x v="87"/>
    </i>
    <i>
      <x v="10"/>
    </i>
    <i>
      <x v="130"/>
    </i>
    <i>
      <x v="68"/>
    </i>
    <i>
      <x v="78"/>
    </i>
    <i>
      <x v="131"/>
    </i>
    <i>
      <x v="107"/>
    </i>
    <i>
      <x v="129"/>
    </i>
    <i>
      <x/>
    </i>
    <i>
      <x v="58"/>
    </i>
    <i>
      <x v="23"/>
    </i>
    <i>
      <x v="15"/>
    </i>
    <i>
      <x v="104"/>
    </i>
    <i>
      <x v="7"/>
    </i>
    <i>
      <x v="26"/>
    </i>
    <i>
      <x v="20"/>
    </i>
    <i>
      <x v="47"/>
    </i>
    <i>
      <x v="16"/>
    </i>
    <i>
      <x v="102"/>
    </i>
    <i>
      <x v="24"/>
    </i>
    <i>
      <x v="31"/>
    </i>
    <i>
      <x v="124"/>
    </i>
    <i>
      <x v="76"/>
    </i>
    <i>
      <x v="21"/>
    </i>
    <i>
      <x v="77"/>
    </i>
    <i>
      <x v="14"/>
    </i>
    <i>
      <x v="35"/>
    </i>
    <i>
      <x v="43"/>
    </i>
    <i>
      <x v="79"/>
    </i>
    <i>
      <x v="19"/>
    </i>
    <i>
      <x v="80"/>
    </i>
    <i>
      <x v="22"/>
    </i>
    <i>
      <x v="6"/>
    </i>
    <i>
      <x v="2"/>
    </i>
    <i>
      <x v="83"/>
    </i>
    <i>
      <x v="28"/>
    </i>
    <i>
      <x v="86"/>
    </i>
    <i>
      <x v="74"/>
    </i>
    <i>
      <x v="36"/>
    </i>
    <i>
      <x v="70"/>
    </i>
    <i>
      <x v="88"/>
    </i>
    <i>
      <x v="18"/>
    </i>
    <i>
      <x v="134"/>
    </i>
    <i>
      <x v="5"/>
    </i>
    <i>
      <x v="135"/>
    </i>
    <i>
      <x v="9"/>
    </i>
    <i>
      <x v="32"/>
    </i>
    <i>
      <x v="41"/>
    </i>
    <i>
      <x v="94"/>
    </i>
    <i>
      <x v="11"/>
    </i>
    <i>
      <x v="95"/>
    </i>
    <i>
      <x v="13"/>
    </i>
    <i>
      <x v="98"/>
    </i>
    <i>
      <x v="27"/>
    </i>
    <i>
      <x v="100"/>
    </i>
    <i>
      <x v="4"/>
    </i>
    <i>
      <x v="101"/>
    </i>
    <i>
      <x v="125"/>
    </i>
    <i>
      <x v="126"/>
    </i>
    <i>
      <x v="127"/>
    </i>
    <i>
      <x v="128"/>
    </i>
    <i>
      <x v="103"/>
    </i>
    <i>
      <x v="44"/>
    </i>
    <i>
      <x v="38"/>
    </i>
    <i>
      <x v="132"/>
    </i>
    <i>
      <x v="39"/>
    </i>
    <i>
      <x v="72"/>
    </i>
    <i>
      <x v="17"/>
    </i>
    <i>
      <x v="136"/>
    </i>
    <i>
      <x v="92"/>
    </i>
    <i>
      <x v="93"/>
    </i>
    <i t="grand">
      <x/>
    </i>
  </rowItems>
  <colItems count="1">
    <i/>
  </colItems>
  <dataFields count="1">
    <dataField name="Max of Rating" fld="6" subtotal="max" baseField="0" baseItem="133"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4E9723-297D-4FEC-AA13-DA5CE8E00371}"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abels">
  <location ref="A2:B111"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dataField="1"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v="16"/>
    </i>
    <i>
      <x v="60"/>
    </i>
    <i>
      <x v="130"/>
    </i>
    <i>
      <x v="61"/>
    </i>
    <i>
      <x v="76"/>
    </i>
    <i>
      <x v="124"/>
    </i>
    <i>
      <x v="65"/>
    </i>
    <i>
      <x v="63"/>
    </i>
    <i>
      <x v="47"/>
    </i>
    <i>
      <x v="14"/>
    </i>
    <i>
      <x v="1"/>
    </i>
    <i>
      <x v="5"/>
    </i>
    <i>
      <x v="88"/>
    </i>
    <i>
      <x v="123"/>
    </i>
    <i>
      <x v="128"/>
    </i>
    <i>
      <x v="68"/>
    </i>
    <i>
      <x v="38"/>
    </i>
    <i>
      <x v="22"/>
    </i>
    <i>
      <x v="7"/>
    </i>
    <i>
      <x v="8"/>
    </i>
    <i>
      <x v="133"/>
    </i>
    <i>
      <x v="29"/>
    </i>
    <i>
      <x v="131"/>
    </i>
    <i>
      <x v="110"/>
    </i>
    <i>
      <x v="100"/>
    </i>
    <i>
      <x v="20"/>
    </i>
    <i>
      <x v="132"/>
    </i>
    <i>
      <x v="26"/>
    </i>
    <i>
      <x v="116"/>
    </i>
    <i>
      <x v="18"/>
    </i>
    <i>
      <x v="21"/>
    </i>
    <i>
      <x v="24"/>
    </i>
    <i>
      <x v="126"/>
    </i>
    <i>
      <x v="119"/>
    </i>
    <i>
      <x v="109"/>
    </i>
    <i>
      <x v="122"/>
    </i>
    <i>
      <x v="112"/>
    </i>
    <i>
      <x v="121"/>
    </i>
    <i>
      <x v="67"/>
    </i>
    <i>
      <x v="6"/>
    </i>
    <i>
      <x v="35"/>
    </i>
    <i>
      <x v="39"/>
    </i>
    <i>
      <x v="87"/>
    </i>
    <i>
      <x v="118"/>
    </i>
    <i>
      <x v="136"/>
    </i>
    <i>
      <x v="111"/>
    </i>
    <i>
      <x v="125"/>
    </i>
    <i>
      <x v="113"/>
    </i>
    <i>
      <x v="135"/>
    </i>
    <i>
      <x v="108"/>
    </i>
    <i>
      <x v="44"/>
    </i>
    <i>
      <x v="78"/>
    </i>
    <i>
      <x v="9"/>
    </i>
    <i>
      <x v="115"/>
    </i>
    <i>
      <x v="120"/>
    </i>
    <i>
      <x v="27"/>
    </i>
    <i>
      <x v="50"/>
    </i>
    <i>
      <x v="12"/>
    </i>
    <i>
      <x v="69"/>
    </i>
    <i>
      <x v="117"/>
    </i>
    <i>
      <x v="74"/>
    </i>
    <i>
      <x v="13"/>
    </i>
    <i>
      <x v="102"/>
    </i>
    <i>
      <x v="28"/>
    </i>
    <i>
      <x/>
    </i>
    <i>
      <x v="95"/>
    </i>
    <i>
      <x v="107"/>
    </i>
    <i>
      <x v="62"/>
    </i>
    <i>
      <x v="58"/>
    </i>
    <i>
      <x v="17"/>
    </i>
    <i>
      <x v="25"/>
    </i>
    <i>
      <x v="129"/>
    </i>
    <i>
      <x v="15"/>
    </i>
    <i>
      <x v="23"/>
    </i>
    <i>
      <x v="55"/>
    </i>
    <i>
      <x v="41"/>
    </i>
    <i>
      <x v="32"/>
    </i>
    <i>
      <x v="3"/>
    </i>
    <i>
      <x v="89"/>
    </i>
    <i>
      <x v="36"/>
    </i>
    <i>
      <x v="104"/>
    </i>
    <i>
      <x v="11"/>
    </i>
    <i>
      <x v="72"/>
    </i>
    <i>
      <x v="79"/>
    </i>
    <i>
      <x v="103"/>
    </i>
    <i>
      <x v="48"/>
    </i>
    <i>
      <x v="19"/>
    </i>
    <i>
      <x v="114"/>
    </i>
    <i>
      <x v="49"/>
    </i>
    <i>
      <x v="40"/>
    </i>
    <i>
      <x v="82"/>
    </i>
    <i>
      <x v="70"/>
    </i>
    <i>
      <x v="31"/>
    </i>
    <i>
      <x v="101"/>
    </i>
    <i>
      <x v="80"/>
    </i>
    <i>
      <x v="92"/>
    </i>
    <i>
      <x v="127"/>
    </i>
    <i>
      <x v="43"/>
    </i>
    <i>
      <x v="134"/>
    </i>
    <i>
      <x v="10"/>
    </i>
    <i>
      <x v="94"/>
    </i>
    <i>
      <x v="77"/>
    </i>
    <i>
      <x v="83"/>
    </i>
    <i>
      <x v="93"/>
    </i>
    <i>
      <x v="86"/>
    </i>
    <i>
      <x v="2"/>
    </i>
    <i>
      <x v="98"/>
    </i>
    <i>
      <x v="4"/>
    </i>
    <i t="grand">
      <x/>
    </i>
  </rowItems>
  <colItems count="1">
    <i/>
  </colItems>
  <dataFields count="1">
    <dataField name="Max of Discount" fld="3" subtotal="max" baseField="0" baseItem="13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E6A6C5-399F-42F8-B5D4-F93D49B26FF7}" name="PivotTable1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Gategory">
  <location ref="A114:C118" firstHeaderRow="0"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dataField="1" numFmtId="164" showAll="0"/>
    <pivotField showAll="0">
      <items count="4">
        <item x="1"/>
        <item x="0"/>
        <item x="2"/>
        <item t="default"/>
      </items>
    </pivotField>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6" subtotal="average" baseField="8" baseItem="0" numFmtId="164"/>
    <dataField name="Average of Review" fld="5"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BADBF0-C264-4683-A222-064BB89016CD}" name="PivotTable1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abels">
  <location ref="E2:F111"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dataField="1"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i>
    <i>
      <x v="112"/>
    </i>
    <i>
      <x v="48"/>
    </i>
    <i>
      <x v="8"/>
    </i>
    <i>
      <x v="115"/>
    </i>
    <i>
      <x v="89"/>
    </i>
    <i>
      <x v="122"/>
    </i>
    <i>
      <x v="109"/>
    </i>
    <i>
      <x v="121"/>
    </i>
    <i>
      <x v="119"/>
    </i>
    <i>
      <x v="23"/>
    </i>
    <i>
      <x v="129"/>
    </i>
    <i>
      <x v="58"/>
    </i>
    <i>
      <x v="3"/>
    </i>
    <i>
      <x v="50"/>
    </i>
    <i>
      <x v="69"/>
    </i>
    <i>
      <x v="10"/>
    </i>
    <i>
      <x v="118"/>
    </i>
    <i>
      <x v="16"/>
    </i>
    <i>
      <x v="114"/>
    </i>
    <i>
      <x v="87"/>
    </i>
    <i>
      <x v="12"/>
    </i>
    <i>
      <x v="120"/>
    </i>
    <i>
      <x v="78"/>
    </i>
    <i>
      <x v="116"/>
    </i>
    <i>
      <x v="65"/>
    </i>
    <i>
      <x v="49"/>
    </i>
    <i>
      <x v="60"/>
    </i>
    <i>
      <x v="47"/>
    </i>
    <i>
      <x v="110"/>
    </i>
    <i>
      <x v="7"/>
    </i>
    <i>
      <x v="26"/>
    </i>
    <i>
      <x v="62"/>
    </i>
    <i>
      <x v="117"/>
    </i>
    <i>
      <x v="20"/>
    </i>
    <i>
      <x v="15"/>
    </i>
    <i>
      <x v="104"/>
    </i>
    <i>
      <x v="131"/>
    </i>
    <i>
      <x v="63"/>
    </i>
    <i>
      <x v="67"/>
    </i>
    <i>
      <x v="111"/>
    </i>
    <i>
      <x v="130"/>
    </i>
    <i>
      <x v="107"/>
    </i>
    <i>
      <x v="1"/>
    </i>
    <i>
      <x v="61"/>
    </i>
    <i>
      <x v="40"/>
    </i>
    <i>
      <x v="25"/>
    </i>
    <i>
      <x v="108"/>
    </i>
    <i>
      <x v="113"/>
    </i>
    <i>
      <x v="82"/>
    </i>
    <i>
      <x v="55"/>
    </i>
    <i>
      <x v="29"/>
    </i>
    <i>
      <x v="123"/>
    </i>
    <i>
      <x v="68"/>
    </i>
    <i>
      <x v="102"/>
    </i>
    <i>
      <x v="133"/>
    </i>
    <i>
      <x v="5"/>
    </i>
    <i>
      <x v="74"/>
    </i>
    <i>
      <x v="124"/>
    </i>
    <i>
      <x v="76"/>
    </i>
    <i>
      <x v="17"/>
    </i>
    <i>
      <x v="77"/>
    </i>
    <i>
      <x v="27"/>
    </i>
    <i>
      <x v="38"/>
    </i>
    <i>
      <x v="128"/>
    </i>
    <i>
      <x v="79"/>
    </i>
    <i>
      <x v="44"/>
    </i>
    <i>
      <x v="136"/>
    </i>
    <i>
      <x v="21"/>
    </i>
    <i>
      <x v="19"/>
    </i>
    <i>
      <x v="18"/>
    </i>
    <i>
      <x v="83"/>
    </i>
    <i>
      <x v="14"/>
    </i>
    <i>
      <x v="86"/>
    </i>
    <i>
      <x v="126"/>
    </i>
    <i>
      <x v="39"/>
    </i>
    <i>
      <x v="72"/>
    </i>
    <i>
      <x v="88"/>
    </i>
    <i>
      <x v="9"/>
    </i>
    <i>
      <x v="2"/>
    </i>
    <i>
      <x v="22"/>
    </i>
    <i>
      <x v="92"/>
    </i>
    <i>
      <x v="4"/>
    </i>
    <i>
      <x v="93"/>
    </i>
    <i>
      <x v="11"/>
    </i>
    <i>
      <x v="94"/>
    </i>
    <i>
      <x v="36"/>
    </i>
    <i>
      <x v="95"/>
    </i>
    <i>
      <x v="6"/>
    </i>
    <i>
      <x v="98"/>
    </i>
    <i>
      <x v="13"/>
    </i>
    <i>
      <x v="100"/>
    </i>
    <i>
      <x v="70"/>
    </i>
    <i>
      <x v="101"/>
    </i>
    <i>
      <x v="125"/>
    </i>
    <i>
      <x v="35"/>
    </i>
    <i>
      <x v="127"/>
    </i>
    <i>
      <x v="132"/>
    </i>
    <i>
      <x v="28"/>
    </i>
    <i>
      <x v="134"/>
    </i>
    <i>
      <x v="31"/>
    </i>
    <i>
      <x v="32"/>
    </i>
    <i>
      <x v="43"/>
    </i>
    <i>
      <x v="103"/>
    </i>
    <i>
      <x v="135"/>
    </i>
    <i>
      <x v="24"/>
    </i>
    <i>
      <x v="41"/>
    </i>
    <i>
      <x v="80"/>
    </i>
    <i t="grand">
      <x/>
    </i>
  </rowItems>
  <colItems count="1">
    <i/>
  </colItems>
  <dataFields count="1">
    <dataField name="Max of Review" fld="5" subtotal="max"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057DDF-AB05-4143-AD2F-030B4B57D4E7}" name="PivotTable2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9">
    <pivotField dataField="1"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62B751-0753-4A3E-8DEA-10C5246A5F65}" name="PivotTable2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Total  Reviews"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7965D5-6D59-4F11-9C59-13468A3DFAEC}" name="PivotTable2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dataField="1" showAll="0"/>
    <pivotField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Discoun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8E665B-0B39-4819-BBFC-2418AE1E0926}" name="PivotTable2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dataField="1"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Rating"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B8D213-7325-486D-85A4-C7D0264E0957}" name="PivotTable24" cacheId="16"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2:A111" firstHeaderRow="1" firstDataRow="1" firstDataCol="1"/>
  <pivotFields count="9">
    <pivotField axis="axisRow"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9"/>
    </i>
    <i>
      <x v="50"/>
    </i>
    <i>
      <x v="52"/>
    </i>
    <i>
      <x v="53"/>
    </i>
    <i>
      <x v="54"/>
    </i>
    <i>
      <x v="55"/>
    </i>
    <i>
      <x v="56"/>
    </i>
    <i>
      <x v="58"/>
    </i>
    <i>
      <x v="59"/>
    </i>
    <i>
      <x v="61"/>
    </i>
    <i>
      <x v="63"/>
    </i>
    <i>
      <x v="64"/>
    </i>
    <i>
      <x v="65"/>
    </i>
    <i>
      <x v="66"/>
    </i>
    <i>
      <x v="67"/>
    </i>
    <i>
      <x v="69"/>
    </i>
    <i>
      <x v="73"/>
    </i>
    <i>
      <x v="76"/>
    </i>
    <i>
      <x v="78"/>
    </i>
    <i>
      <x v="79"/>
    </i>
    <i>
      <x v="80"/>
    </i>
    <i>
      <x v="81"/>
    </i>
    <i>
      <x v="82"/>
    </i>
    <i>
      <x v="83"/>
    </i>
    <i>
      <x v="85"/>
    </i>
    <i>
      <x v="86"/>
    </i>
    <i>
      <x v="87"/>
    </i>
    <i>
      <x v="89"/>
    </i>
    <i>
      <x v="90"/>
    </i>
    <i>
      <x v="91"/>
    </i>
    <i>
      <x v="92"/>
    </i>
    <i>
      <x v="93"/>
    </i>
    <i>
      <x v="95"/>
    </i>
    <i>
      <x v="97"/>
    </i>
    <i>
      <x v="98"/>
    </i>
    <i>
      <x v="100"/>
    </i>
    <i>
      <x v="101"/>
    </i>
    <i>
      <x v="102"/>
    </i>
    <i>
      <x v="103"/>
    </i>
    <i>
      <x v="104"/>
    </i>
    <i>
      <x v="106"/>
    </i>
    <i>
      <x v="107"/>
    </i>
    <i>
      <x v="109"/>
    </i>
    <i>
      <x v="111"/>
    </i>
    <i>
      <x v="112"/>
    </i>
    <i>
      <x v="113"/>
    </i>
    <i>
      <x v="114"/>
    </i>
    <i>
      <x v="115"/>
    </i>
    <i>
      <x v="116"/>
    </i>
    <i>
      <x v="119"/>
    </i>
    <i>
      <x v="120"/>
    </i>
    <i>
      <x v="121"/>
    </i>
    <i>
      <x v="122"/>
    </i>
    <i>
      <x v="125"/>
    </i>
    <i>
      <x v="127"/>
    </i>
    <i>
      <x v="128"/>
    </i>
    <i>
      <x v="129"/>
    </i>
    <i>
      <x v="130"/>
    </i>
    <i>
      <x v="131"/>
    </i>
    <i>
      <x v="132"/>
    </i>
    <i>
      <x v="135"/>
    </i>
    <i>
      <x v="1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139A89-1260-478C-BE8E-D7B789179F06}" autoFormatId="16" applyNumberFormats="0" applyBorderFormats="0" applyFontFormats="0" applyPatternFormats="0" applyAlignmentFormats="0" applyWidthHeightFormats="0">
  <queryTableRefresh nextId="11">
    <queryTableFields count="9">
      <queryTableField id="1" name="Product" tableColumnId="1"/>
      <queryTableField id="2" name="Current price" tableColumnId="2"/>
      <queryTableField id="3" name="old price" tableColumnId="3"/>
      <queryTableField id="4" name="Discount" tableColumnId="4"/>
      <queryTableField id="7" name="%Discount" tableColumnId="7"/>
      <queryTableField id="5" name="Review" tableColumnId="5"/>
      <queryTableField id="6" name="Rating" tableColumnId="6"/>
      <queryTableField id="8" name="Rating Gategory" tableColumnId="8"/>
      <queryTableField id="10" name="Discount Gategory"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Gategory" xr10:uid="{28F9B0AF-3344-4F88-A02F-5F4E79E0E8E8}" sourceName="Rating Gategory">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Gategory" xr10:uid="{2F78726D-0524-4048-B82D-8256870D84BE}" sourceName="Discount Gategory">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FBA55B-BBA8-4247-8560-7CE1EC2B8297}" sourceName="Product">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137">
        <i x="11" s="1"/>
        <i x="0" s="1"/>
        <i x="27" s="1"/>
        <i x="31" s="1"/>
        <i x="60" s="1"/>
        <i x="56" s="1"/>
        <i x="9" s="1"/>
        <i x="6" s="1"/>
        <i x="100" s="1"/>
        <i x="79" s="1"/>
        <i x="5" s="1"/>
        <i x="99" s="1"/>
        <i x="90" s="1"/>
        <i x="46" s="1"/>
        <i x="72" s="1"/>
        <i x="65" s="1"/>
        <i x="64" s="1"/>
        <i x="19" s="1"/>
        <i x="73" s="1"/>
        <i x="20" s="1"/>
        <i x="93" s="1"/>
        <i x="12" s="1"/>
        <i x="39" s="1"/>
        <i x="21" s="1"/>
        <i x="57" s="1"/>
        <i x="28" s="1"/>
        <i x="34" s="1"/>
        <i x="33" s="1"/>
        <i x="78" s="1"/>
        <i x="59" s="1"/>
        <i x="105" s="1"/>
        <i x="89" s="1"/>
        <i x="44" s="1"/>
        <i x="75" s="1"/>
        <i x="70" s="1"/>
        <i x="96" s="1"/>
        <i x="98" s="1"/>
        <i x="66" s="1"/>
        <i x="55" s="1"/>
        <i x="15" s="1"/>
        <i x="63" s="1"/>
        <i x="95" s="1"/>
        <i x="41" s="1"/>
        <i x="77" s="1"/>
        <i x="107" s="1"/>
        <i x="48" s="1"/>
        <i x="45" s="1"/>
        <i x="82" s="1"/>
        <i x="102" s="1"/>
        <i x="43" s="1"/>
        <i x="54" s="1"/>
        <i x="36" s="1"/>
        <i x="47" s="1"/>
        <i x="74" s="1"/>
        <i x="52" s="1"/>
        <i x="7" s="1"/>
        <i x="35" s="1"/>
        <i x="71" s="1"/>
        <i x="25" s="1"/>
        <i x="30" s="1"/>
        <i x="23" s="1"/>
        <i x="10" s="1"/>
        <i x="80" s="1"/>
        <i x="61" s="1"/>
        <i x="97" s="1"/>
        <i x="67" s="1"/>
        <i x="24" s="1"/>
        <i x="17" s="1"/>
        <i x="13" s="1"/>
        <i x="8" s="1"/>
        <i x="38" s="1"/>
        <i x="32" s="1"/>
        <i x="22" s="1"/>
        <i x="101" s="1"/>
        <i x="18" s="1"/>
        <i x="76" s="1"/>
        <i x="1" s="1"/>
        <i x="94" s="1"/>
        <i x="40" s="1"/>
        <i x="14" s="1"/>
        <i x="85" s="1"/>
        <i x="29" s="1"/>
        <i x="51" s="1"/>
        <i x="58" s="1"/>
        <i x="81" s="1"/>
        <i x="83" s="1"/>
        <i x="16" s="1"/>
        <i x="49" s="1"/>
        <i x="50" s="1"/>
        <i x="4" s="1"/>
        <i x="2" s="1"/>
        <i x="92" s="1"/>
        <i x="26" s="1"/>
        <i x="87" s="1"/>
        <i x="37" s="1"/>
        <i x="88" s="1"/>
        <i x="42" s="1"/>
        <i x="103" s="1"/>
        <i x="53" s="1"/>
        <i x="104" s="1"/>
        <i x="62" s="1"/>
        <i x="86" s="1"/>
        <i x="91" s="1"/>
        <i x="106" s="1"/>
        <i x="84" s="1"/>
        <i x="68" s="1"/>
        <i x="3" s="1"/>
        <i x="69" s="1"/>
        <i x="118" s="1" nd="1"/>
        <i x="112" s="1" nd="1"/>
        <i x="119" s="1" nd="1"/>
        <i x="136" s="1" nd="1"/>
        <i x="115" s="1" nd="1"/>
        <i x="113" s="1" nd="1"/>
        <i x="123" s="1" nd="1"/>
        <i x="121" s="1" nd="1"/>
        <i x="128" s="1" nd="1"/>
        <i x="111" s="1" nd="1"/>
        <i x="125" s="1" nd="1"/>
        <i x="131" s="1" nd="1"/>
        <i x="120" s="1" nd="1"/>
        <i x="133" s="1" nd="1"/>
        <i x="124" s="1" nd="1"/>
        <i x="135" s="1" nd="1"/>
        <i x="109" s="1" nd="1"/>
        <i x="116" s="1" nd="1"/>
        <i x="108" s="1" nd="1"/>
        <i x="122" s="1" nd="1"/>
        <i x="127" s="1" nd="1"/>
        <i x="130" s="1" nd="1"/>
        <i x="134" s="1" nd="1"/>
        <i x="114" s="1" nd="1"/>
        <i x="126" s="1" nd="1"/>
        <i x="117" s="1" nd="1"/>
        <i x="129" s="1" nd="1"/>
        <i x="132" s="1" nd="1"/>
        <i x="1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Gategory 1" xr10:uid="{D1AD539E-1E93-4998-B1B7-108F384A1CEE}" cache="Slicer_Rating_Gategory" caption="Rating Gategory" rowHeight="251883"/>
  <slicer name="Discount Gategory 1" xr10:uid="{89E7CAC4-253A-4E96-87E9-54B3F6CFBE4A}" cache="Slicer_Discount_Gategory" caption="Discount Gategory" rowHeight="251883"/>
  <slicer name="Product 1" xr10:uid="{5EF5E13C-678E-4FB0-8A99-618DE9AAF39D}" cache="Slicer_Product" caption="Product" startItem="57"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Gategory" xr10:uid="{95137BC4-A760-4DA0-A15B-4FE2C5E10A6F}" cache="Slicer_Rating_Gategory" caption="Rating Gategory" rowHeight="251883"/>
  <slicer name="Discount Gategory" xr10:uid="{D642AD82-419A-4728-94AD-E304EAC7A88F}" cache="Slicer_Discount_Gategory" caption="Discount Gategory" rowHeight="251883"/>
  <slicer name="Product" xr10:uid="{8BE2DC0E-9AA6-4880-B7A7-9BB28CA488B4}" cache="Slicer_Product" caption="Product"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40D27-26CB-49E7-AB0E-55A52F133CA4}" name="Table1" displayName="Table1" ref="A1:F116" totalsRowShown="0" headerRowDxfId="22">
  <autoFilter ref="A1:F116" xr:uid="{29840D27-26CB-49E7-AB0E-55A52F133CA4}"/>
  <tableColumns count="6">
    <tableColumn id="1" xr3:uid="{5259D741-1515-43E7-A6C6-1282075409B2}" name="Product"/>
    <tableColumn id="2" xr3:uid="{B1E6CBA6-D3BB-4A78-B25F-E89DC850C35B}" name="Current price"/>
    <tableColumn id="3" xr3:uid="{E9BF74DE-0A5A-4904-BF4F-1E22CA4535DC}" name="old price"/>
    <tableColumn id="4" xr3:uid="{9E7D772C-9BCE-4DF6-8ABE-D52A06AE6181}" name="Discount" dataDxfId="21"/>
    <tableColumn id="5" xr3:uid="{125CA698-D930-4002-8EA6-2FD10FF1BDAB}" name="Review"/>
    <tableColumn id="6" xr3:uid="{D8EB5B28-E60C-40FC-8F22-83FF284966AD}" name="Rating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EFF3A-5A76-4EF6-A3C6-CD57FEAC8023}" name="Table1_1" displayName="Table1_1" ref="A1:I109" tableType="queryTable" totalsRowShown="0">
  <autoFilter ref="A1:I109" xr:uid="{219EFF3A-5A76-4EF6-A3C6-CD57FEAC8023}">
    <filterColumn colId="8">
      <filters>
        <filter val="Medium Discount"/>
      </filters>
    </filterColumn>
  </autoFilter>
  <tableColumns count="9">
    <tableColumn id="1" xr3:uid="{E550FCDF-995A-4043-B8BA-3AA38768D6CA}" uniqueName="1" name="Product" queryTableFieldId="1" dataDxfId="20"/>
    <tableColumn id="2" xr3:uid="{E4137427-AB5D-4F3B-B299-BC3FCDB4EE1E}" uniqueName="2" name="Current price" queryTableFieldId="2"/>
    <tableColumn id="3" xr3:uid="{D63C2498-0F7F-447B-89D2-CADBCCD9CAF4}" uniqueName="3" name="old price" queryTableFieldId="3" dataDxfId="19"/>
    <tableColumn id="4" xr3:uid="{E4272E2F-42E6-43D8-8789-92B6F979DB3F}" uniqueName="4" name="Discount" queryTableFieldId="4" dataDxfId="18"/>
    <tableColumn id="7" xr3:uid="{777CBBC6-29D8-4ABC-844C-78862A0C6904}" uniqueName="7" name="%Discount" queryTableFieldId="7"/>
    <tableColumn id="5" xr3:uid="{3F7D3FCA-2F93-4D1F-92D4-D81E0FE9CD13}" uniqueName="5" name="Review" queryTableFieldId="5" dataDxfId="17"/>
    <tableColumn id="6" xr3:uid="{DF9785A7-3640-45A0-8A90-314AABDA6AC9}" uniqueName="6" name="Rating" queryTableFieldId="6" dataDxfId="16"/>
    <tableColumn id="8" xr3:uid="{49E7BDEB-2766-41CD-B4DE-38E2E07A938D}" uniqueName="8" name="Rating Gategory" queryTableFieldId="8"/>
    <tableColumn id="9" xr3:uid="{F52F0866-DEF0-4B0E-A056-3E9BDE08D5A5}" uniqueName="9" name="Discount Gategory" queryTableFieldId="10"/>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4FC65-9770-4788-B0EF-01554764C3B6}">
  <dimension ref="A1:F116"/>
  <sheetViews>
    <sheetView topLeftCell="A41" workbookViewId="0">
      <selection activeCell="I79" sqref="I79"/>
    </sheetView>
  </sheetViews>
  <sheetFormatPr defaultRowHeight="14.5" x14ac:dyDescent="0.5"/>
  <cols>
    <col min="1" max="1" width="11" customWidth="1"/>
    <col min="2" max="2" width="16.7265625" customWidth="1"/>
    <col min="3" max="3" width="11.90625" customWidth="1"/>
    <col min="4" max="4" width="12.453125" customWidth="1"/>
    <col min="5" max="5" width="10.36328125" customWidth="1"/>
    <col min="6" max="6" width="10.90625" customWidth="1"/>
  </cols>
  <sheetData>
    <row r="1" spans="1:6" s="10" customFormat="1" ht="21" x14ac:dyDescent="0.6">
      <c r="A1" s="10" t="s">
        <v>0</v>
      </c>
      <c r="B1" s="10" t="s">
        <v>1</v>
      </c>
      <c r="C1" s="10" t="s">
        <v>2</v>
      </c>
      <c r="D1" s="10" t="s">
        <v>3</v>
      </c>
      <c r="E1" s="10" t="s">
        <v>4</v>
      </c>
      <c r="F1" s="10" t="s">
        <v>5</v>
      </c>
    </row>
    <row r="2" spans="1:6" ht="16.5" x14ac:dyDescent="0.5">
      <c r="A2" t="s">
        <v>6</v>
      </c>
      <c r="B2" t="s">
        <v>7</v>
      </c>
      <c r="C2" t="s">
        <v>8</v>
      </c>
      <c r="D2" s="1">
        <v>0.38</v>
      </c>
      <c r="E2">
        <v>-2</v>
      </c>
      <c r="F2" t="s">
        <v>9</v>
      </c>
    </row>
    <row r="3" spans="1:6" ht="16.5" x14ac:dyDescent="0.5">
      <c r="A3" t="s">
        <v>10</v>
      </c>
      <c r="B3" t="s">
        <v>11</v>
      </c>
      <c r="C3" t="s">
        <v>12</v>
      </c>
      <c r="D3" s="1">
        <v>0.47</v>
      </c>
      <c r="E3">
        <v>-14</v>
      </c>
      <c r="F3" t="s">
        <v>13</v>
      </c>
    </row>
    <row r="4" spans="1:6" ht="16.5" x14ac:dyDescent="0.5">
      <c r="A4" t="s">
        <v>14</v>
      </c>
      <c r="B4" t="s">
        <v>15</v>
      </c>
      <c r="C4" t="s">
        <v>16</v>
      </c>
      <c r="D4" s="1">
        <v>0.25</v>
      </c>
      <c r="E4">
        <v>-24</v>
      </c>
      <c r="F4" t="s">
        <v>17</v>
      </c>
    </row>
    <row r="5" spans="1:6" ht="16.5" x14ac:dyDescent="0.5">
      <c r="A5" t="s">
        <v>18</v>
      </c>
      <c r="B5" t="s">
        <v>19</v>
      </c>
      <c r="C5" t="s">
        <v>20</v>
      </c>
      <c r="D5" s="1">
        <v>0.37</v>
      </c>
      <c r="E5">
        <v>-7</v>
      </c>
      <c r="F5" t="s">
        <v>21</v>
      </c>
    </row>
    <row r="6" spans="1:6" ht="16.5" x14ac:dyDescent="0.5">
      <c r="A6" t="s">
        <v>22</v>
      </c>
      <c r="B6" t="s">
        <v>23</v>
      </c>
      <c r="C6" t="s">
        <v>24</v>
      </c>
      <c r="D6" s="1">
        <v>0.26</v>
      </c>
      <c r="E6">
        <v>-5</v>
      </c>
      <c r="F6" t="s">
        <v>25</v>
      </c>
    </row>
    <row r="7" spans="1:6" ht="16.5" x14ac:dyDescent="0.5">
      <c r="A7" t="s">
        <v>26</v>
      </c>
      <c r="B7" t="s">
        <v>27</v>
      </c>
      <c r="C7" t="s">
        <v>28</v>
      </c>
      <c r="D7" s="1">
        <v>0.09</v>
      </c>
      <c r="E7">
        <v>-15</v>
      </c>
      <c r="F7" t="s">
        <v>29</v>
      </c>
    </row>
    <row r="8" spans="1:6" ht="16.5" x14ac:dyDescent="0.5">
      <c r="A8" t="s">
        <v>30</v>
      </c>
      <c r="B8" t="s">
        <v>31</v>
      </c>
      <c r="C8" t="s">
        <v>32</v>
      </c>
      <c r="D8" s="1">
        <v>0.24</v>
      </c>
      <c r="E8">
        <v>-55</v>
      </c>
      <c r="F8" t="s">
        <v>17</v>
      </c>
    </row>
    <row r="9" spans="1:6" ht="16.5" x14ac:dyDescent="0.5">
      <c r="A9" t="s">
        <v>33</v>
      </c>
      <c r="B9" t="s">
        <v>34</v>
      </c>
      <c r="C9" t="s">
        <v>19</v>
      </c>
      <c r="D9" s="1">
        <v>0.37</v>
      </c>
      <c r="E9">
        <v>-2</v>
      </c>
      <c r="F9" t="s">
        <v>29</v>
      </c>
    </row>
    <row r="10" spans="1:6" ht="16.5" x14ac:dyDescent="0.5">
      <c r="A10" t="s">
        <v>35</v>
      </c>
      <c r="B10" t="s">
        <v>36</v>
      </c>
      <c r="C10" t="s">
        <v>37</v>
      </c>
      <c r="D10" s="1">
        <v>0.55000000000000004</v>
      </c>
      <c r="E10">
        <v>-5</v>
      </c>
      <c r="F10" t="s">
        <v>25</v>
      </c>
    </row>
    <row r="11" spans="1:6" ht="16.5" x14ac:dyDescent="0.5">
      <c r="A11" t="s">
        <v>38</v>
      </c>
      <c r="B11" t="s">
        <v>39</v>
      </c>
      <c r="C11" t="s">
        <v>40</v>
      </c>
      <c r="D11" s="1">
        <v>0.45</v>
      </c>
      <c r="E11">
        <v>-5</v>
      </c>
      <c r="F11" t="s">
        <v>41</v>
      </c>
    </row>
    <row r="12" spans="1:6" ht="16.5" x14ac:dyDescent="0.5">
      <c r="A12" t="s">
        <v>42</v>
      </c>
      <c r="B12" t="s">
        <v>43</v>
      </c>
      <c r="C12" t="s">
        <v>12</v>
      </c>
      <c r="D12" s="1">
        <v>0.2</v>
      </c>
      <c r="E12">
        <v>-12</v>
      </c>
      <c r="F12" t="s">
        <v>13</v>
      </c>
    </row>
    <row r="13" spans="1:6" ht="16.5" x14ac:dyDescent="0.5">
      <c r="A13" t="s">
        <v>44</v>
      </c>
      <c r="B13" t="s">
        <v>45</v>
      </c>
      <c r="C13" t="s">
        <v>46</v>
      </c>
      <c r="D13" s="1">
        <v>0.34</v>
      </c>
      <c r="E13">
        <v>-39</v>
      </c>
      <c r="F13" t="s">
        <v>21</v>
      </c>
    </row>
    <row r="14" spans="1:6" ht="16.5" x14ac:dyDescent="0.5">
      <c r="A14" t="s">
        <v>47</v>
      </c>
      <c r="B14" t="s">
        <v>48</v>
      </c>
      <c r="C14" t="s">
        <v>49</v>
      </c>
      <c r="D14" s="1">
        <v>0.47</v>
      </c>
      <c r="E14">
        <v>-12</v>
      </c>
      <c r="F14" t="s">
        <v>25</v>
      </c>
    </row>
    <row r="15" spans="1:6" ht="16.5" x14ac:dyDescent="0.5">
      <c r="A15" t="s">
        <v>50</v>
      </c>
      <c r="B15" t="s">
        <v>51</v>
      </c>
      <c r="C15" t="s">
        <v>52</v>
      </c>
      <c r="D15" s="1">
        <v>0.42</v>
      </c>
      <c r="E15">
        <v>-6</v>
      </c>
      <c r="F15" t="s">
        <v>9</v>
      </c>
    </row>
    <row r="16" spans="1:6" ht="16.5" x14ac:dyDescent="0.5">
      <c r="A16" t="s">
        <v>53</v>
      </c>
      <c r="B16" t="s">
        <v>54</v>
      </c>
      <c r="C16" t="s">
        <v>20</v>
      </c>
      <c r="D16" s="1">
        <v>0.33</v>
      </c>
      <c r="E16">
        <v>-9</v>
      </c>
      <c r="F16" t="s">
        <v>55</v>
      </c>
    </row>
    <row r="17" spans="1:6" ht="16.5" x14ac:dyDescent="0.5">
      <c r="A17" t="s">
        <v>56</v>
      </c>
      <c r="B17" t="s">
        <v>57</v>
      </c>
      <c r="C17" t="s">
        <v>58</v>
      </c>
      <c r="D17" s="1">
        <v>0.51</v>
      </c>
      <c r="E17">
        <v>-2</v>
      </c>
      <c r="F17" t="s">
        <v>59</v>
      </c>
    </row>
    <row r="18" spans="1:6" ht="16.5" x14ac:dyDescent="0.5">
      <c r="A18" t="s">
        <v>60</v>
      </c>
      <c r="B18" t="s">
        <v>61</v>
      </c>
      <c r="C18" t="s">
        <v>62</v>
      </c>
      <c r="D18" s="1">
        <v>0.46</v>
      </c>
      <c r="E18">
        <v>-2</v>
      </c>
      <c r="F18" t="s">
        <v>59</v>
      </c>
    </row>
    <row r="19" spans="1:6" ht="16.5" x14ac:dyDescent="0.5">
      <c r="A19" t="s">
        <v>63</v>
      </c>
      <c r="B19" t="s">
        <v>64</v>
      </c>
      <c r="C19" t="s">
        <v>65</v>
      </c>
      <c r="D19" s="1">
        <v>0.49</v>
      </c>
      <c r="E19">
        <v>-3</v>
      </c>
      <c r="F19" t="s">
        <v>59</v>
      </c>
    </row>
    <row r="20" spans="1:6" ht="16.5" x14ac:dyDescent="0.5">
      <c r="A20" t="s">
        <v>66</v>
      </c>
      <c r="B20" t="s">
        <v>27</v>
      </c>
      <c r="C20" t="s">
        <v>67</v>
      </c>
      <c r="D20" s="1">
        <v>0.19</v>
      </c>
      <c r="E20">
        <v>-5</v>
      </c>
      <c r="F20" t="s">
        <v>17</v>
      </c>
    </row>
    <row r="21" spans="1:6" ht="16.5" x14ac:dyDescent="0.5">
      <c r="A21" t="s">
        <v>68</v>
      </c>
      <c r="B21" t="s">
        <v>69</v>
      </c>
      <c r="C21" t="s">
        <v>70</v>
      </c>
      <c r="D21" s="1">
        <v>0.49</v>
      </c>
      <c r="E21">
        <v>-44</v>
      </c>
      <c r="F21" t="s">
        <v>17</v>
      </c>
    </row>
    <row r="22" spans="1:6" ht="16.5" x14ac:dyDescent="0.5">
      <c r="A22" t="s">
        <v>71</v>
      </c>
      <c r="B22" t="s">
        <v>72</v>
      </c>
      <c r="C22" t="s">
        <v>73</v>
      </c>
      <c r="D22" s="1">
        <v>0.53</v>
      </c>
      <c r="E22">
        <v>-13</v>
      </c>
      <c r="F22" t="s">
        <v>74</v>
      </c>
    </row>
    <row r="23" spans="1:6" ht="16.5" x14ac:dyDescent="0.5">
      <c r="A23" t="s">
        <v>75</v>
      </c>
      <c r="B23" t="s">
        <v>76</v>
      </c>
      <c r="C23" t="s">
        <v>77</v>
      </c>
      <c r="D23" s="1">
        <v>0.42</v>
      </c>
    </row>
    <row r="24" spans="1:6" ht="16.5" x14ac:dyDescent="0.5">
      <c r="A24" t="s">
        <v>78</v>
      </c>
      <c r="B24" t="s">
        <v>79</v>
      </c>
      <c r="C24" t="s">
        <v>80</v>
      </c>
      <c r="D24" s="1">
        <v>0.35</v>
      </c>
      <c r="E24">
        <v>-6</v>
      </c>
      <c r="F24" t="s">
        <v>29</v>
      </c>
    </row>
    <row r="25" spans="1:6" ht="16.5" x14ac:dyDescent="0.5">
      <c r="A25" t="s">
        <v>81</v>
      </c>
      <c r="B25" t="s">
        <v>82</v>
      </c>
      <c r="C25" t="s">
        <v>83</v>
      </c>
      <c r="D25" s="1">
        <v>0.23</v>
      </c>
      <c r="E25">
        <v>-14</v>
      </c>
      <c r="F25" t="s">
        <v>84</v>
      </c>
    </row>
    <row r="26" spans="1:6" ht="16.5" x14ac:dyDescent="0.5">
      <c r="A26" t="s">
        <v>85</v>
      </c>
      <c r="B26" t="s">
        <v>86</v>
      </c>
      <c r="C26" t="s">
        <v>87</v>
      </c>
      <c r="D26" s="1">
        <v>0.54</v>
      </c>
      <c r="E26">
        <v>-7</v>
      </c>
      <c r="F26" t="s">
        <v>88</v>
      </c>
    </row>
    <row r="27" spans="1:6" ht="16.5" x14ac:dyDescent="0.5">
      <c r="A27" t="s">
        <v>89</v>
      </c>
      <c r="B27" t="s">
        <v>90</v>
      </c>
      <c r="C27" t="s">
        <v>91</v>
      </c>
      <c r="D27" s="1">
        <v>0.35</v>
      </c>
      <c r="E27">
        <v>-49</v>
      </c>
      <c r="F27" t="s">
        <v>17</v>
      </c>
    </row>
    <row r="28" spans="1:6" ht="16.5" x14ac:dyDescent="0.5">
      <c r="A28" t="s">
        <v>92</v>
      </c>
      <c r="B28" t="s">
        <v>93</v>
      </c>
      <c r="C28" t="s">
        <v>94</v>
      </c>
      <c r="D28" s="1">
        <v>0.18</v>
      </c>
      <c r="E28">
        <v>-12</v>
      </c>
      <c r="F28" t="s">
        <v>41</v>
      </c>
    </row>
    <row r="29" spans="1:6" ht="16.5" x14ac:dyDescent="0.5">
      <c r="A29" t="s">
        <v>95</v>
      </c>
      <c r="B29" t="s">
        <v>80</v>
      </c>
      <c r="C29" t="s">
        <v>96</v>
      </c>
      <c r="D29" s="1">
        <v>0.32</v>
      </c>
      <c r="E29">
        <v>-13</v>
      </c>
      <c r="F29" t="s">
        <v>41</v>
      </c>
    </row>
    <row r="30" spans="1:6" ht="16.5" x14ac:dyDescent="0.5">
      <c r="A30" t="s">
        <v>97</v>
      </c>
      <c r="B30" t="s">
        <v>98</v>
      </c>
      <c r="C30" t="s">
        <v>20</v>
      </c>
      <c r="D30" s="1">
        <v>0.3</v>
      </c>
      <c r="E30">
        <v>-20</v>
      </c>
      <c r="F30" t="s">
        <v>13</v>
      </c>
    </row>
    <row r="31" spans="1:6" ht="16.5" x14ac:dyDescent="0.5">
      <c r="A31" t="s">
        <v>99</v>
      </c>
      <c r="B31" t="s">
        <v>100</v>
      </c>
      <c r="C31" t="s">
        <v>101</v>
      </c>
      <c r="D31" s="1">
        <v>0.46</v>
      </c>
    </row>
    <row r="32" spans="1:6" ht="16.5" x14ac:dyDescent="0.5">
      <c r="A32" t="s">
        <v>102</v>
      </c>
      <c r="B32" t="s">
        <v>103</v>
      </c>
      <c r="C32" t="s">
        <v>104</v>
      </c>
      <c r="D32" s="1">
        <v>0.52</v>
      </c>
      <c r="E32">
        <v>-9</v>
      </c>
      <c r="F32" t="s">
        <v>88</v>
      </c>
    </row>
    <row r="33" spans="1:6" ht="16.5" x14ac:dyDescent="0.5">
      <c r="A33" t="s">
        <v>105</v>
      </c>
      <c r="B33" t="s">
        <v>106</v>
      </c>
      <c r="C33" t="s">
        <v>107</v>
      </c>
      <c r="D33" s="1">
        <v>0.34</v>
      </c>
      <c r="E33">
        <v>-12</v>
      </c>
      <c r="F33" t="s">
        <v>21</v>
      </c>
    </row>
    <row r="34" spans="1:6" ht="16.5" x14ac:dyDescent="0.5">
      <c r="A34" t="s">
        <v>108</v>
      </c>
      <c r="B34" t="s">
        <v>109</v>
      </c>
      <c r="C34" t="s">
        <v>110</v>
      </c>
      <c r="D34" s="1">
        <v>0.48</v>
      </c>
      <c r="E34">
        <v>-9</v>
      </c>
      <c r="F34" t="s">
        <v>88</v>
      </c>
    </row>
    <row r="35" spans="1:6" ht="16.5" x14ac:dyDescent="0.5">
      <c r="A35" t="s">
        <v>111</v>
      </c>
      <c r="B35" t="s">
        <v>112</v>
      </c>
      <c r="C35" t="s">
        <v>113</v>
      </c>
      <c r="D35" s="1">
        <v>0.27</v>
      </c>
      <c r="E35">
        <v>-20</v>
      </c>
      <c r="F35" t="s">
        <v>21</v>
      </c>
    </row>
    <row r="36" spans="1:6" ht="16.5" x14ac:dyDescent="0.5">
      <c r="A36" t="s">
        <v>114</v>
      </c>
      <c r="B36" t="s">
        <v>115</v>
      </c>
      <c r="C36" t="s">
        <v>116</v>
      </c>
      <c r="D36" s="1">
        <v>0.27</v>
      </c>
      <c r="E36">
        <v>-32</v>
      </c>
      <c r="F36" t="s">
        <v>9</v>
      </c>
    </row>
    <row r="37" spans="1:6" ht="16.5" x14ac:dyDescent="0.5">
      <c r="A37" t="s">
        <v>117</v>
      </c>
      <c r="B37" t="s">
        <v>118</v>
      </c>
      <c r="C37" t="s">
        <v>119</v>
      </c>
      <c r="D37" s="1">
        <v>0.4</v>
      </c>
      <c r="E37">
        <v>-1</v>
      </c>
      <c r="F37" t="s">
        <v>59</v>
      </c>
    </row>
    <row r="38" spans="1:6" ht="16.5" x14ac:dyDescent="0.5">
      <c r="A38" t="s">
        <v>120</v>
      </c>
      <c r="B38" t="s">
        <v>121</v>
      </c>
      <c r="C38" t="s">
        <v>62</v>
      </c>
      <c r="D38" s="1">
        <v>0.53</v>
      </c>
      <c r="E38">
        <v>-2</v>
      </c>
      <c r="F38" t="s">
        <v>59</v>
      </c>
    </row>
    <row r="39" spans="1:6" ht="16.5" x14ac:dyDescent="0.5">
      <c r="A39" t="s">
        <v>122</v>
      </c>
      <c r="B39" t="s">
        <v>123</v>
      </c>
      <c r="C39" t="s">
        <v>124</v>
      </c>
      <c r="D39" s="1">
        <v>0.41</v>
      </c>
      <c r="E39">
        <v>-36</v>
      </c>
      <c r="F39" t="s">
        <v>88</v>
      </c>
    </row>
    <row r="40" spans="1:6" ht="16.5" x14ac:dyDescent="0.5">
      <c r="A40" t="s">
        <v>125</v>
      </c>
      <c r="B40" t="s">
        <v>126</v>
      </c>
      <c r="C40" t="s">
        <v>127</v>
      </c>
      <c r="D40" s="1">
        <v>0.38</v>
      </c>
      <c r="E40">
        <v>-2</v>
      </c>
      <c r="F40" t="s">
        <v>9</v>
      </c>
    </row>
    <row r="41" spans="1:6" ht="16.5" x14ac:dyDescent="0.5">
      <c r="A41" t="s">
        <v>128</v>
      </c>
      <c r="B41" t="s">
        <v>129</v>
      </c>
      <c r="C41" t="s">
        <v>130</v>
      </c>
      <c r="D41" s="1">
        <v>0.38</v>
      </c>
    </row>
    <row r="42" spans="1:6" ht="16.5" x14ac:dyDescent="0.5">
      <c r="A42" t="s">
        <v>131</v>
      </c>
      <c r="B42" t="s">
        <v>132</v>
      </c>
      <c r="C42" t="s">
        <v>133</v>
      </c>
      <c r="D42" s="1">
        <v>0.49</v>
      </c>
    </row>
    <row r="43" spans="1:6" ht="16.5" x14ac:dyDescent="0.5">
      <c r="A43" t="s">
        <v>134</v>
      </c>
      <c r="B43" t="s">
        <v>135</v>
      </c>
      <c r="C43" t="s">
        <v>136</v>
      </c>
      <c r="D43" s="1">
        <v>0.5</v>
      </c>
    </row>
    <row r="44" spans="1:6" ht="16.5" x14ac:dyDescent="0.5">
      <c r="A44" t="s">
        <v>137</v>
      </c>
      <c r="B44" t="s">
        <v>138</v>
      </c>
      <c r="C44" t="s">
        <v>139</v>
      </c>
      <c r="D44" s="1">
        <v>0.42</v>
      </c>
    </row>
    <row r="45" spans="1:6" ht="16.5" x14ac:dyDescent="0.5">
      <c r="A45" t="s">
        <v>137</v>
      </c>
      <c r="B45" t="s">
        <v>138</v>
      </c>
      <c r="C45" t="s">
        <v>139</v>
      </c>
      <c r="D45" s="1">
        <v>0.42</v>
      </c>
    </row>
    <row r="46" spans="1:6" ht="16.5" x14ac:dyDescent="0.5">
      <c r="A46" t="s">
        <v>140</v>
      </c>
      <c r="B46" t="s">
        <v>141</v>
      </c>
      <c r="C46" t="s">
        <v>142</v>
      </c>
      <c r="D46" s="1">
        <v>0.02</v>
      </c>
    </row>
    <row r="47" spans="1:6" ht="16.5" x14ac:dyDescent="0.5">
      <c r="A47" t="s">
        <v>143</v>
      </c>
      <c r="B47" t="s">
        <v>12</v>
      </c>
      <c r="C47" t="s">
        <v>144</v>
      </c>
      <c r="D47" s="1">
        <v>0.5</v>
      </c>
    </row>
    <row r="48" spans="1:6" ht="16.5" x14ac:dyDescent="0.5">
      <c r="A48" t="s">
        <v>145</v>
      </c>
      <c r="B48" t="s">
        <v>146</v>
      </c>
      <c r="C48" t="s">
        <v>147</v>
      </c>
      <c r="D48" s="1">
        <v>0.33</v>
      </c>
    </row>
    <row r="49" spans="1:6" ht="16.5" x14ac:dyDescent="0.5">
      <c r="A49" t="s">
        <v>148</v>
      </c>
      <c r="B49" t="s">
        <v>149</v>
      </c>
      <c r="C49" t="s">
        <v>150</v>
      </c>
      <c r="D49" s="1">
        <v>0.49</v>
      </c>
    </row>
    <row r="50" spans="1:6" ht="16.5" x14ac:dyDescent="0.5">
      <c r="A50" t="s">
        <v>151</v>
      </c>
      <c r="B50" t="s">
        <v>152</v>
      </c>
      <c r="C50" t="s">
        <v>153</v>
      </c>
      <c r="D50" s="1">
        <v>0.38</v>
      </c>
    </row>
    <row r="51" spans="1:6" ht="16.5" x14ac:dyDescent="0.5">
      <c r="A51" t="s">
        <v>154</v>
      </c>
      <c r="B51" t="s">
        <v>155</v>
      </c>
      <c r="C51" t="s">
        <v>156</v>
      </c>
      <c r="D51" s="1">
        <v>0.61</v>
      </c>
    </row>
    <row r="52" spans="1:6" ht="16.5" x14ac:dyDescent="0.5">
      <c r="A52" t="s">
        <v>157</v>
      </c>
      <c r="B52" t="s">
        <v>158</v>
      </c>
      <c r="C52" t="s">
        <v>159</v>
      </c>
      <c r="D52" s="1">
        <v>0.5</v>
      </c>
    </row>
    <row r="53" spans="1:6" ht="16.5" x14ac:dyDescent="0.5">
      <c r="A53" t="s">
        <v>160</v>
      </c>
      <c r="B53" t="s">
        <v>161</v>
      </c>
      <c r="C53" t="s">
        <v>162</v>
      </c>
      <c r="D53" s="1">
        <v>0.02</v>
      </c>
    </row>
    <row r="54" spans="1:6" ht="16.5" x14ac:dyDescent="0.5">
      <c r="A54" t="s">
        <v>163</v>
      </c>
      <c r="B54" t="s">
        <v>158</v>
      </c>
      <c r="C54" t="s">
        <v>164</v>
      </c>
      <c r="D54" s="1">
        <v>0.22</v>
      </c>
    </row>
    <row r="55" spans="1:6" ht="16.5" x14ac:dyDescent="0.5">
      <c r="A55" t="s">
        <v>165</v>
      </c>
      <c r="B55" t="s">
        <v>166</v>
      </c>
      <c r="C55" t="s">
        <v>167</v>
      </c>
      <c r="D55" s="1">
        <v>0.03</v>
      </c>
    </row>
    <row r="56" spans="1:6" ht="16.5" x14ac:dyDescent="0.5">
      <c r="A56" t="s">
        <v>168</v>
      </c>
      <c r="B56" t="s">
        <v>43</v>
      </c>
      <c r="C56" t="s">
        <v>169</v>
      </c>
      <c r="D56" s="1">
        <v>0.41</v>
      </c>
    </row>
    <row r="57" spans="1:6" ht="16.5" x14ac:dyDescent="0.5">
      <c r="A57" t="s">
        <v>170</v>
      </c>
      <c r="B57" t="s">
        <v>171</v>
      </c>
      <c r="C57" t="s">
        <v>172</v>
      </c>
      <c r="D57" s="1">
        <v>0.45</v>
      </c>
    </row>
    <row r="58" spans="1:6" ht="16.5" x14ac:dyDescent="0.5">
      <c r="A58" t="s">
        <v>173</v>
      </c>
      <c r="B58" t="s">
        <v>174</v>
      </c>
      <c r="C58" t="s">
        <v>169</v>
      </c>
      <c r="D58" s="1">
        <v>0.48</v>
      </c>
    </row>
    <row r="59" spans="1:6" ht="16.5" x14ac:dyDescent="0.5">
      <c r="A59" t="s">
        <v>175</v>
      </c>
      <c r="B59" t="s">
        <v>43</v>
      </c>
      <c r="C59" t="s">
        <v>176</v>
      </c>
      <c r="D59" s="1">
        <v>0.49</v>
      </c>
    </row>
    <row r="60" spans="1:6" ht="16.5" x14ac:dyDescent="0.5">
      <c r="A60" t="s">
        <v>177</v>
      </c>
      <c r="B60" t="s">
        <v>178</v>
      </c>
      <c r="C60" t="s">
        <v>179</v>
      </c>
      <c r="D60" s="1">
        <v>0.27</v>
      </c>
    </row>
    <row r="61" spans="1:6" ht="16.5" x14ac:dyDescent="0.5">
      <c r="A61" t="s">
        <v>170</v>
      </c>
      <c r="B61" t="s">
        <v>180</v>
      </c>
      <c r="C61" t="s">
        <v>181</v>
      </c>
      <c r="D61" s="1">
        <v>0.55000000000000004</v>
      </c>
    </row>
    <row r="62" spans="1:6" ht="16.5" x14ac:dyDescent="0.5">
      <c r="A62" t="s">
        <v>182</v>
      </c>
      <c r="B62" t="s">
        <v>183</v>
      </c>
      <c r="C62" t="s">
        <v>184</v>
      </c>
      <c r="D62" s="1">
        <v>0.13</v>
      </c>
      <c r="E62">
        <v>-6</v>
      </c>
      <c r="F62" t="s">
        <v>185</v>
      </c>
    </row>
    <row r="63" spans="1:6" ht="16.5" x14ac:dyDescent="0.5">
      <c r="A63" t="s">
        <v>186</v>
      </c>
      <c r="B63" t="s">
        <v>187</v>
      </c>
      <c r="C63" t="s">
        <v>188</v>
      </c>
      <c r="D63" s="1">
        <v>0.54</v>
      </c>
      <c r="E63">
        <v>-10</v>
      </c>
      <c r="F63" t="s">
        <v>189</v>
      </c>
    </row>
    <row r="64" spans="1:6" ht="16.5" x14ac:dyDescent="0.5">
      <c r="A64" t="s">
        <v>190</v>
      </c>
      <c r="B64" t="s">
        <v>191</v>
      </c>
      <c r="C64" t="s">
        <v>192</v>
      </c>
      <c r="D64" s="1">
        <v>0.55000000000000004</v>
      </c>
      <c r="E64">
        <v>-13</v>
      </c>
      <c r="F64" t="s">
        <v>193</v>
      </c>
    </row>
    <row r="65" spans="1:6" ht="16.5" x14ac:dyDescent="0.5">
      <c r="A65" t="s">
        <v>194</v>
      </c>
      <c r="B65" t="s">
        <v>195</v>
      </c>
      <c r="C65" t="s">
        <v>196</v>
      </c>
      <c r="D65" s="1">
        <v>0.49</v>
      </c>
      <c r="E65">
        <v>-69</v>
      </c>
      <c r="F65" t="s">
        <v>197</v>
      </c>
    </row>
    <row r="66" spans="1:6" ht="16.5" x14ac:dyDescent="0.5">
      <c r="A66" t="s">
        <v>198</v>
      </c>
      <c r="B66" t="s">
        <v>199</v>
      </c>
      <c r="C66" t="s">
        <v>200</v>
      </c>
      <c r="D66" s="1">
        <v>0.52</v>
      </c>
      <c r="E66">
        <v>-15</v>
      </c>
      <c r="F66" t="s">
        <v>201</v>
      </c>
    </row>
    <row r="67" spans="1:6" ht="16.5" x14ac:dyDescent="0.5">
      <c r="A67" t="s">
        <v>202</v>
      </c>
      <c r="B67" t="s">
        <v>203</v>
      </c>
      <c r="C67" t="s">
        <v>204</v>
      </c>
      <c r="D67" s="1">
        <v>0.22</v>
      </c>
      <c r="E67">
        <v>-16</v>
      </c>
      <c r="F67" t="s">
        <v>205</v>
      </c>
    </row>
    <row r="68" spans="1:6" ht="16.5" x14ac:dyDescent="0.5">
      <c r="A68" t="s">
        <v>206</v>
      </c>
      <c r="B68" t="s">
        <v>45</v>
      </c>
      <c r="C68" t="s">
        <v>207</v>
      </c>
      <c r="D68" s="1">
        <v>0.45</v>
      </c>
      <c r="E68">
        <v>-6</v>
      </c>
      <c r="F68" t="s">
        <v>208</v>
      </c>
    </row>
    <row r="69" spans="1:6" ht="16.5" x14ac:dyDescent="0.5">
      <c r="A69" t="s">
        <v>209</v>
      </c>
      <c r="B69" t="s">
        <v>210</v>
      </c>
      <c r="C69" t="s">
        <v>144</v>
      </c>
      <c r="D69" s="1">
        <v>0.5</v>
      </c>
      <c r="E69">
        <v>-7</v>
      </c>
      <c r="F69" t="s">
        <v>211</v>
      </c>
    </row>
    <row r="70" spans="1:6" ht="16.5" x14ac:dyDescent="0.5">
      <c r="A70" t="s">
        <v>212</v>
      </c>
      <c r="B70" t="s">
        <v>213</v>
      </c>
      <c r="C70" t="s">
        <v>214</v>
      </c>
      <c r="D70" s="1">
        <v>0.39</v>
      </c>
      <c r="E70">
        <v>-5</v>
      </c>
      <c r="F70" t="s">
        <v>189</v>
      </c>
    </row>
    <row r="71" spans="1:6" ht="16.5" x14ac:dyDescent="0.5">
      <c r="A71" t="s">
        <v>215</v>
      </c>
      <c r="B71" t="s">
        <v>104</v>
      </c>
      <c r="C71" t="s">
        <v>216</v>
      </c>
      <c r="D71" s="1">
        <v>0.45</v>
      </c>
      <c r="E71">
        <v>-17</v>
      </c>
      <c r="F71" t="s">
        <v>217</v>
      </c>
    </row>
    <row r="72" spans="1:6" ht="16.5" x14ac:dyDescent="0.5">
      <c r="A72" t="s">
        <v>218</v>
      </c>
      <c r="B72" t="s">
        <v>219</v>
      </c>
      <c r="C72" t="s">
        <v>220</v>
      </c>
      <c r="D72" s="1">
        <v>0.28999999999999998</v>
      </c>
      <c r="E72">
        <v>-5</v>
      </c>
      <c r="F72" t="s">
        <v>189</v>
      </c>
    </row>
    <row r="73" spans="1:6" ht="16.5" x14ac:dyDescent="0.5">
      <c r="A73" t="s">
        <v>221</v>
      </c>
      <c r="B73" t="s">
        <v>222</v>
      </c>
      <c r="C73" t="s">
        <v>223</v>
      </c>
      <c r="D73" s="1">
        <v>0.43</v>
      </c>
      <c r="E73">
        <v>-6</v>
      </c>
      <c r="F73" t="s">
        <v>211</v>
      </c>
    </row>
    <row r="74" spans="1:6" ht="16.5" x14ac:dyDescent="0.5">
      <c r="A74" t="s">
        <v>224</v>
      </c>
      <c r="B74" t="s">
        <v>225</v>
      </c>
      <c r="C74" t="s">
        <v>226</v>
      </c>
      <c r="D74" s="1">
        <v>0.43</v>
      </c>
      <c r="E74">
        <v>-5</v>
      </c>
      <c r="F74" t="s">
        <v>189</v>
      </c>
    </row>
    <row r="75" spans="1:6" ht="16.5" x14ac:dyDescent="0.5">
      <c r="A75" t="s">
        <v>227</v>
      </c>
      <c r="B75" t="s">
        <v>228</v>
      </c>
      <c r="C75" t="s">
        <v>207</v>
      </c>
      <c r="D75" s="1">
        <v>0.47</v>
      </c>
      <c r="E75">
        <v>-6</v>
      </c>
      <c r="F75" t="s">
        <v>208</v>
      </c>
    </row>
    <row r="76" spans="1:6" ht="16.5" x14ac:dyDescent="0.5">
      <c r="A76" t="s">
        <v>229</v>
      </c>
      <c r="B76" t="s">
        <v>230</v>
      </c>
      <c r="C76" t="s">
        <v>231</v>
      </c>
      <c r="D76" s="1">
        <v>0.47</v>
      </c>
      <c r="E76">
        <v>-7</v>
      </c>
      <c r="F76" t="s">
        <v>193</v>
      </c>
    </row>
    <row r="77" spans="1:6" ht="16.5" x14ac:dyDescent="0.5">
      <c r="A77" t="s">
        <v>232</v>
      </c>
      <c r="B77" t="s">
        <v>233</v>
      </c>
      <c r="C77" t="s">
        <v>234</v>
      </c>
      <c r="D77" s="1">
        <v>0.47</v>
      </c>
    </row>
    <row r="78" spans="1:6" ht="16.5" x14ac:dyDescent="0.5">
      <c r="A78" t="s">
        <v>235</v>
      </c>
      <c r="B78" t="s">
        <v>236</v>
      </c>
      <c r="C78" t="s">
        <v>152</v>
      </c>
      <c r="D78" s="1">
        <v>0.43</v>
      </c>
    </row>
    <row r="79" spans="1:6" ht="16.5" x14ac:dyDescent="0.5">
      <c r="A79" t="s">
        <v>237</v>
      </c>
      <c r="B79" t="s">
        <v>238</v>
      </c>
      <c r="C79" t="s">
        <v>239</v>
      </c>
      <c r="D79" s="1">
        <v>0.04</v>
      </c>
    </row>
    <row r="80" spans="1:6" ht="16.5" x14ac:dyDescent="0.5">
      <c r="A80" t="s">
        <v>240</v>
      </c>
      <c r="B80" t="s">
        <v>241</v>
      </c>
      <c r="C80" t="s">
        <v>242</v>
      </c>
      <c r="D80" s="1">
        <v>0.49</v>
      </c>
    </row>
    <row r="81" spans="1:6" ht="16.5" x14ac:dyDescent="0.5">
      <c r="A81" t="s">
        <v>243</v>
      </c>
      <c r="B81" t="s">
        <v>244</v>
      </c>
      <c r="C81" t="s">
        <v>15</v>
      </c>
      <c r="D81" s="1">
        <v>0.46</v>
      </c>
      <c r="E81">
        <v>-1</v>
      </c>
      <c r="F81" t="s">
        <v>189</v>
      </c>
    </row>
    <row r="82" spans="1:6" ht="16.5" x14ac:dyDescent="0.5">
      <c r="A82" t="s">
        <v>245</v>
      </c>
      <c r="B82" t="s">
        <v>246</v>
      </c>
      <c r="C82" t="s">
        <v>247</v>
      </c>
      <c r="D82" s="1">
        <v>0.49</v>
      </c>
      <c r="E82">
        <v>-1</v>
      </c>
      <c r="F82" t="s">
        <v>59</v>
      </c>
    </row>
    <row r="83" spans="1:6" ht="16.5" x14ac:dyDescent="0.5">
      <c r="A83" t="s">
        <v>248</v>
      </c>
      <c r="B83" t="s">
        <v>249</v>
      </c>
      <c r="C83" t="s">
        <v>250</v>
      </c>
      <c r="D83" s="1">
        <v>0.36</v>
      </c>
    </row>
    <row r="84" spans="1:6" ht="16.5" x14ac:dyDescent="0.5">
      <c r="A84" t="s">
        <v>251</v>
      </c>
      <c r="B84" t="s">
        <v>252</v>
      </c>
      <c r="C84" t="s">
        <v>162</v>
      </c>
      <c r="D84" s="1">
        <v>0.02</v>
      </c>
    </row>
    <row r="85" spans="1:6" ht="16.5" x14ac:dyDescent="0.5">
      <c r="A85" t="s">
        <v>253</v>
      </c>
      <c r="B85" t="s">
        <v>254</v>
      </c>
      <c r="C85" t="s">
        <v>91</v>
      </c>
      <c r="D85" s="1">
        <v>0.49</v>
      </c>
      <c r="E85">
        <v>-1</v>
      </c>
      <c r="F85" t="s">
        <v>29</v>
      </c>
    </row>
    <row r="86" spans="1:6" ht="16.5" x14ac:dyDescent="0.5">
      <c r="A86" t="s">
        <v>137</v>
      </c>
      <c r="B86" t="s">
        <v>138</v>
      </c>
      <c r="C86" t="s">
        <v>139</v>
      </c>
      <c r="D86" s="1">
        <v>0.42</v>
      </c>
    </row>
    <row r="87" spans="1:6" ht="16.5" x14ac:dyDescent="0.5">
      <c r="A87" t="s">
        <v>154</v>
      </c>
      <c r="B87" t="s">
        <v>255</v>
      </c>
      <c r="C87" t="s">
        <v>222</v>
      </c>
      <c r="D87" s="1">
        <v>0.49</v>
      </c>
    </row>
    <row r="88" spans="1:6" ht="16.5" x14ac:dyDescent="0.5">
      <c r="A88" t="s">
        <v>256</v>
      </c>
      <c r="B88" t="s">
        <v>257</v>
      </c>
      <c r="C88" t="s">
        <v>162</v>
      </c>
      <c r="D88" s="1">
        <v>0.14000000000000001</v>
      </c>
    </row>
    <row r="89" spans="1:6" ht="16.5" x14ac:dyDescent="0.5">
      <c r="A89" t="s">
        <v>258</v>
      </c>
      <c r="B89" t="s">
        <v>259</v>
      </c>
      <c r="C89" t="s">
        <v>260</v>
      </c>
      <c r="D89" s="1">
        <v>0.49</v>
      </c>
    </row>
    <row r="90" spans="1:6" ht="16.5" x14ac:dyDescent="0.5">
      <c r="A90" t="s">
        <v>261</v>
      </c>
      <c r="B90" t="s">
        <v>43</v>
      </c>
      <c r="C90" t="s">
        <v>172</v>
      </c>
      <c r="D90" s="1">
        <v>0.11</v>
      </c>
    </row>
    <row r="91" spans="1:6" ht="16.5" x14ac:dyDescent="0.5">
      <c r="A91" t="s">
        <v>175</v>
      </c>
      <c r="B91" t="s">
        <v>262</v>
      </c>
      <c r="C91" t="s">
        <v>263</v>
      </c>
      <c r="D91" s="1">
        <v>0.49</v>
      </c>
    </row>
    <row r="92" spans="1:6" ht="16.5" x14ac:dyDescent="0.5">
      <c r="A92" t="s">
        <v>264</v>
      </c>
      <c r="B92" t="s">
        <v>265</v>
      </c>
      <c r="C92" t="s">
        <v>162</v>
      </c>
      <c r="D92" s="1">
        <v>0.14000000000000001</v>
      </c>
    </row>
    <row r="93" spans="1:6" ht="16.5" x14ac:dyDescent="0.5">
      <c r="A93" t="s">
        <v>266</v>
      </c>
      <c r="B93" t="s">
        <v>267</v>
      </c>
      <c r="C93" t="s">
        <v>268</v>
      </c>
      <c r="D93" s="1">
        <v>0.43</v>
      </c>
    </row>
    <row r="94" spans="1:6" ht="16.5" x14ac:dyDescent="0.5">
      <c r="A94" t="s">
        <v>269</v>
      </c>
      <c r="B94" t="s">
        <v>270</v>
      </c>
      <c r="C94" t="s">
        <v>271</v>
      </c>
      <c r="D94" s="1">
        <v>0.5</v>
      </c>
    </row>
    <row r="95" spans="1:6" ht="16.5" x14ac:dyDescent="0.5">
      <c r="A95" t="s">
        <v>272</v>
      </c>
      <c r="B95" t="s">
        <v>273</v>
      </c>
      <c r="C95" t="s">
        <v>184</v>
      </c>
      <c r="D95" s="1">
        <v>0.48</v>
      </c>
    </row>
    <row r="96" spans="1:6" ht="16.5" x14ac:dyDescent="0.5">
      <c r="A96" t="s">
        <v>274</v>
      </c>
      <c r="B96" t="s">
        <v>275</v>
      </c>
      <c r="C96" t="s">
        <v>276</v>
      </c>
      <c r="D96" s="1">
        <v>0.48</v>
      </c>
    </row>
    <row r="97" spans="1:6" ht="16.5" x14ac:dyDescent="0.5">
      <c r="A97" t="s">
        <v>277</v>
      </c>
      <c r="B97" t="s">
        <v>226</v>
      </c>
      <c r="C97" t="s">
        <v>162</v>
      </c>
      <c r="D97" s="1">
        <v>0.47</v>
      </c>
    </row>
    <row r="98" spans="1:6" ht="16.5" x14ac:dyDescent="0.5">
      <c r="A98" t="s">
        <v>277</v>
      </c>
      <c r="B98" t="s">
        <v>226</v>
      </c>
      <c r="C98" t="s">
        <v>162</v>
      </c>
      <c r="D98" s="1">
        <v>0.47</v>
      </c>
    </row>
    <row r="99" spans="1:6" ht="16.5" x14ac:dyDescent="0.5">
      <c r="A99" t="s">
        <v>278</v>
      </c>
      <c r="B99" t="s">
        <v>152</v>
      </c>
      <c r="C99" t="s">
        <v>279</v>
      </c>
      <c r="D99" s="1">
        <v>0.5</v>
      </c>
    </row>
    <row r="100" spans="1:6" ht="16.5" x14ac:dyDescent="0.5">
      <c r="A100" t="s">
        <v>280</v>
      </c>
      <c r="B100" t="s">
        <v>281</v>
      </c>
      <c r="C100" t="s">
        <v>161</v>
      </c>
      <c r="D100" s="1">
        <v>0.08</v>
      </c>
    </row>
    <row r="101" spans="1:6" ht="16.5" x14ac:dyDescent="0.5">
      <c r="A101" t="s">
        <v>282</v>
      </c>
      <c r="B101" t="s">
        <v>283</v>
      </c>
      <c r="C101" t="s">
        <v>167</v>
      </c>
      <c r="D101" s="1">
        <v>0.02</v>
      </c>
    </row>
    <row r="102" spans="1:6" ht="16.5" x14ac:dyDescent="0.5">
      <c r="A102" t="s">
        <v>284</v>
      </c>
      <c r="B102" t="s">
        <v>285</v>
      </c>
      <c r="C102" t="s">
        <v>286</v>
      </c>
      <c r="D102" s="1">
        <v>0.49</v>
      </c>
    </row>
    <row r="103" spans="1:6" ht="16.5" x14ac:dyDescent="0.5">
      <c r="A103" t="s">
        <v>287</v>
      </c>
      <c r="B103" t="s">
        <v>288</v>
      </c>
      <c r="C103" t="s">
        <v>67</v>
      </c>
      <c r="D103" s="1">
        <v>0.04</v>
      </c>
    </row>
    <row r="104" spans="1:6" ht="16.5" x14ac:dyDescent="0.5">
      <c r="A104" t="s">
        <v>289</v>
      </c>
      <c r="B104" t="s">
        <v>290</v>
      </c>
      <c r="C104" t="s">
        <v>291</v>
      </c>
      <c r="D104" s="1">
        <v>0.49</v>
      </c>
    </row>
    <row r="105" spans="1:6" ht="16.5" x14ac:dyDescent="0.5">
      <c r="A105" t="s">
        <v>292</v>
      </c>
      <c r="B105" t="s">
        <v>293</v>
      </c>
      <c r="C105" t="s">
        <v>294</v>
      </c>
      <c r="D105" s="1">
        <v>0.42</v>
      </c>
    </row>
    <row r="106" spans="1:6" ht="16.5" x14ac:dyDescent="0.5">
      <c r="A106" t="s">
        <v>295</v>
      </c>
      <c r="B106" t="s">
        <v>296</v>
      </c>
      <c r="C106" t="s">
        <v>297</v>
      </c>
      <c r="D106" s="1">
        <v>0.21</v>
      </c>
      <c r="E106">
        <v>-1</v>
      </c>
      <c r="F106" t="s">
        <v>59</v>
      </c>
    </row>
    <row r="107" spans="1:6" ht="16.5" x14ac:dyDescent="0.5">
      <c r="A107" t="s">
        <v>298</v>
      </c>
      <c r="B107" t="s">
        <v>299</v>
      </c>
      <c r="C107" t="s">
        <v>300</v>
      </c>
      <c r="D107" s="1">
        <v>0.41</v>
      </c>
    </row>
    <row r="108" spans="1:6" ht="16.5" x14ac:dyDescent="0.5">
      <c r="A108" t="s">
        <v>301</v>
      </c>
      <c r="B108" t="s">
        <v>302</v>
      </c>
      <c r="C108" t="s">
        <v>303</v>
      </c>
      <c r="D108" s="1">
        <v>0.01</v>
      </c>
    </row>
    <row r="109" spans="1:6" ht="16.5" x14ac:dyDescent="0.5">
      <c r="A109" t="s">
        <v>304</v>
      </c>
      <c r="B109" t="s">
        <v>305</v>
      </c>
      <c r="C109" t="s">
        <v>306</v>
      </c>
      <c r="D109" s="1">
        <v>0.24</v>
      </c>
    </row>
    <row r="110" spans="1:6" ht="16.5" x14ac:dyDescent="0.5">
      <c r="A110" t="s">
        <v>307</v>
      </c>
      <c r="B110" t="s">
        <v>308</v>
      </c>
      <c r="C110" t="s">
        <v>309</v>
      </c>
      <c r="D110" s="1">
        <v>0.34</v>
      </c>
    </row>
    <row r="111" spans="1:6" ht="16.5" x14ac:dyDescent="0.5">
      <c r="A111" t="s">
        <v>310</v>
      </c>
      <c r="B111" t="s">
        <v>146</v>
      </c>
      <c r="C111" t="s">
        <v>311</v>
      </c>
      <c r="D111" s="1">
        <v>0.34</v>
      </c>
    </row>
    <row r="112" spans="1:6" ht="16.5" x14ac:dyDescent="0.5">
      <c r="A112" t="s">
        <v>312</v>
      </c>
      <c r="B112" t="s">
        <v>313</v>
      </c>
      <c r="C112" t="s">
        <v>162</v>
      </c>
      <c r="D112" s="1">
        <v>0.02</v>
      </c>
    </row>
    <row r="113" spans="1:6" ht="16.5" x14ac:dyDescent="0.5">
      <c r="A113" t="s">
        <v>314</v>
      </c>
      <c r="B113" t="s">
        <v>315</v>
      </c>
      <c r="C113" t="s">
        <v>239</v>
      </c>
      <c r="D113" s="1">
        <v>0.02</v>
      </c>
    </row>
    <row r="114" spans="1:6" ht="16.5" x14ac:dyDescent="0.5">
      <c r="A114" t="s">
        <v>316</v>
      </c>
      <c r="B114" t="s">
        <v>155</v>
      </c>
      <c r="C114" t="s">
        <v>317</v>
      </c>
      <c r="D114" s="1">
        <v>0.64</v>
      </c>
    </row>
    <row r="115" spans="1:6" ht="16.5" x14ac:dyDescent="0.5">
      <c r="A115" t="s">
        <v>318</v>
      </c>
      <c r="B115" t="s">
        <v>242</v>
      </c>
      <c r="C115" t="s">
        <v>172</v>
      </c>
      <c r="D115" s="1">
        <v>0.5</v>
      </c>
      <c r="E115">
        <v>-1</v>
      </c>
      <c r="F115" t="s">
        <v>319</v>
      </c>
    </row>
    <row r="116" spans="1:6" ht="16.5" x14ac:dyDescent="0.5">
      <c r="A116" t="s">
        <v>320</v>
      </c>
      <c r="B116" t="s">
        <v>321</v>
      </c>
      <c r="C116" t="s">
        <v>322</v>
      </c>
      <c r="D116" s="1">
        <v>0.47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1900-4608-45AA-BD23-ED5B473DDB54}">
  <dimension ref="A1:E225"/>
  <sheetViews>
    <sheetView tabSelected="1" workbookViewId="0">
      <selection activeCell="A117" sqref="A117"/>
    </sheetView>
  </sheetViews>
  <sheetFormatPr defaultRowHeight="14.5" x14ac:dyDescent="0.5"/>
  <cols>
    <col min="1" max="1" width="85.81640625" customWidth="1"/>
    <col min="2" max="2" width="14.453125" customWidth="1"/>
    <col min="3" max="3" width="17.26953125" customWidth="1"/>
    <col min="4" max="4" width="20.90625" customWidth="1"/>
    <col min="5" max="5" width="18.90625" customWidth="1"/>
    <col min="6" max="6" width="3.81640625" customWidth="1"/>
    <col min="7" max="8" width="3.81640625" bestFit="1" customWidth="1"/>
    <col min="9" max="9" width="4.81640625" bestFit="1" customWidth="1"/>
    <col min="10" max="28" width="3.81640625" bestFit="1" customWidth="1"/>
    <col min="29" max="29" width="4.81640625" bestFit="1" customWidth="1"/>
    <col min="30" max="30" width="3.81640625" bestFit="1" customWidth="1"/>
    <col min="31" max="100" width="4.81640625" bestFit="1" customWidth="1"/>
    <col min="101" max="101" width="10.36328125" bestFit="1" customWidth="1"/>
  </cols>
  <sheetData>
    <row r="1" spans="1:5" ht="16.5" x14ac:dyDescent="0.5">
      <c r="A1" s="9" t="s">
        <v>444</v>
      </c>
    </row>
    <row r="2" spans="1:5" ht="16.5" x14ac:dyDescent="0.5">
      <c r="A2" s="6" t="s">
        <v>453</v>
      </c>
    </row>
    <row r="4" spans="1:5" ht="16.5" x14ac:dyDescent="0.5">
      <c r="A4" s="14" t="s">
        <v>452</v>
      </c>
      <c r="B4" t="s">
        <v>451</v>
      </c>
      <c r="C4" t="s">
        <v>448</v>
      </c>
      <c r="D4" t="s">
        <v>450</v>
      </c>
      <c r="E4" t="s">
        <v>449</v>
      </c>
    </row>
    <row r="5" spans="1:5" ht="16.5" x14ac:dyDescent="0.5">
      <c r="A5" s="15" t="s">
        <v>194</v>
      </c>
      <c r="B5" s="13">
        <v>2.8</v>
      </c>
      <c r="C5" s="11">
        <v>873</v>
      </c>
      <c r="D5" s="22">
        <v>445</v>
      </c>
      <c r="E5" s="22">
        <v>0.49</v>
      </c>
    </row>
    <row r="6" spans="1:5" ht="16.5" x14ac:dyDescent="0.5">
      <c r="A6" s="15" t="s">
        <v>38</v>
      </c>
      <c r="B6" s="13">
        <v>3.8</v>
      </c>
      <c r="C6" s="11">
        <v>2929</v>
      </c>
      <c r="D6" s="22">
        <v>1600</v>
      </c>
      <c r="E6" s="22">
        <v>0.45</v>
      </c>
    </row>
    <row r="7" spans="1:5" ht="16.5" x14ac:dyDescent="0.5">
      <c r="A7" s="15" t="s">
        <v>424</v>
      </c>
      <c r="B7" s="13">
        <v>0</v>
      </c>
      <c r="C7" s="11">
        <v>1699</v>
      </c>
      <c r="D7" s="22">
        <v>1666</v>
      </c>
      <c r="E7" s="22">
        <v>0.02</v>
      </c>
    </row>
    <row r="8" spans="1:5" ht="16.5" x14ac:dyDescent="0.5">
      <c r="A8" s="15" t="s">
        <v>26</v>
      </c>
      <c r="B8" s="13">
        <v>4</v>
      </c>
      <c r="C8" s="11">
        <v>3290</v>
      </c>
      <c r="D8" s="22">
        <v>2999</v>
      </c>
      <c r="E8" s="22">
        <v>0.09</v>
      </c>
    </row>
    <row r="9" spans="1:5" ht="16.5" x14ac:dyDescent="0.5">
      <c r="A9" s="15" t="s">
        <v>430</v>
      </c>
      <c r="B9" s="13">
        <v>0</v>
      </c>
      <c r="C9" s="11">
        <v>1899</v>
      </c>
      <c r="D9" s="22">
        <v>1875</v>
      </c>
      <c r="E9" s="22">
        <v>0.01</v>
      </c>
    </row>
    <row r="10" spans="1:5" ht="16.5" x14ac:dyDescent="0.5">
      <c r="A10" s="15" t="s">
        <v>426</v>
      </c>
      <c r="B10" s="13">
        <v>0</v>
      </c>
      <c r="C10" s="11">
        <v>2400</v>
      </c>
      <c r="D10" s="22">
        <v>1200</v>
      </c>
      <c r="E10" s="22">
        <v>0.5</v>
      </c>
    </row>
    <row r="11" spans="1:5" ht="16.5" x14ac:dyDescent="0.5">
      <c r="A11" s="15" t="s">
        <v>419</v>
      </c>
      <c r="B11" s="13">
        <v>0</v>
      </c>
      <c r="C11" s="11">
        <v>1485</v>
      </c>
      <c r="D11" s="22">
        <v>790</v>
      </c>
      <c r="E11" s="22">
        <v>0.47</v>
      </c>
    </row>
    <row r="12" spans="1:5" ht="16.5" x14ac:dyDescent="0.5">
      <c r="A12" s="15" t="s">
        <v>414</v>
      </c>
      <c r="B12" s="13">
        <v>2.2999999999999998</v>
      </c>
      <c r="C12" s="11">
        <v>2000</v>
      </c>
      <c r="D12" s="22">
        <v>1000</v>
      </c>
      <c r="E12" s="22">
        <v>0.5</v>
      </c>
    </row>
    <row r="13" spans="1:5" ht="16.5" x14ac:dyDescent="0.5">
      <c r="A13" s="15" t="s">
        <v>394</v>
      </c>
      <c r="B13" s="13">
        <v>4.5999999999999996</v>
      </c>
      <c r="C13" s="11">
        <v>1966</v>
      </c>
      <c r="D13" s="22">
        <v>998</v>
      </c>
      <c r="E13" s="22">
        <v>0.49</v>
      </c>
    </row>
    <row r="14" spans="1:5" ht="16.5" x14ac:dyDescent="0.5">
      <c r="A14" s="15" t="s">
        <v>420</v>
      </c>
      <c r="B14" s="13">
        <v>0</v>
      </c>
      <c r="C14" s="11">
        <v>1200</v>
      </c>
      <c r="D14" s="22">
        <v>690</v>
      </c>
      <c r="E14" s="22">
        <v>0.43</v>
      </c>
    </row>
    <row r="15" spans="1:5" ht="16.5" x14ac:dyDescent="0.5">
      <c r="A15" s="15" t="s">
        <v>395</v>
      </c>
      <c r="B15" s="13">
        <v>3.3</v>
      </c>
      <c r="C15" s="11">
        <v>80</v>
      </c>
      <c r="D15" s="22">
        <v>38</v>
      </c>
      <c r="E15" s="22">
        <v>0.53</v>
      </c>
    </row>
    <row r="16" spans="1:5" ht="16.5" x14ac:dyDescent="0.5">
      <c r="A16" s="15" t="s">
        <v>284</v>
      </c>
      <c r="B16" s="13">
        <v>0</v>
      </c>
      <c r="C16" s="11">
        <v>486</v>
      </c>
      <c r="D16" s="22">
        <v>248</v>
      </c>
      <c r="E16" s="22">
        <v>0.49</v>
      </c>
    </row>
    <row r="17" spans="1:5" ht="16.5" x14ac:dyDescent="0.5">
      <c r="A17" s="15" t="s">
        <v>390</v>
      </c>
      <c r="B17" s="13">
        <v>4.8</v>
      </c>
      <c r="C17" s="11">
        <v>1035</v>
      </c>
      <c r="D17" s="22">
        <v>552</v>
      </c>
      <c r="E17" s="22">
        <v>0.47</v>
      </c>
    </row>
    <row r="18" spans="1:5" ht="16.5" x14ac:dyDescent="0.5">
      <c r="A18" s="15" t="s">
        <v>131</v>
      </c>
      <c r="B18" s="13">
        <v>0</v>
      </c>
      <c r="C18" s="11">
        <v>931</v>
      </c>
      <c r="D18" s="22">
        <v>475</v>
      </c>
      <c r="E18" s="22">
        <v>0.49</v>
      </c>
    </row>
    <row r="19" spans="1:5" ht="16.5" x14ac:dyDescent="0.5">
      <c r="A19" s="15" t="s">
        <v>396</v>
      </c>
      <c r="B19" s="13">
        <v>0</v>
      </c>
      <c r="C19" s="11">
        <v>3220</v>
      </c>
      <c r="D19" s="22">
        <v>1860</v>
      </c>
      <c r="E19" s="22">
        <v>0.42</v>
      </c>
    </row>
    <row r="20" spans="1:5" ht="16.5" x14ac:dyDescent="0.5">
      <c r="A20" s="15" t="s">
        <v>409</v>
      </c>
      <c r="B20" s="13">
        <v>2.5</v>
      </c>
      <c r="C20" s="11">
        <v>2500</v>
      </c>
      <c r="D20" s="22">
        <v>2170</v>
      </c>
      <c r="E20" s="22">
        <v>0.13</v>
      </c>
    </row>
    <row r="21" spans="1:5" ht="16.5" x14ac:dyDescent="0.5">
      <c r="A21" s="15" t="s">
        <v>411</v>
      </c>
      <c r="B21" s="13">
        <v>2.1</v>
      </c>
      <c r="C21" s="11">
        <v>4700</v>
      </c>
      <c r="D21" s="22">
        <v>2115</v>
      </c>
      <c r="E21" s="22">
        <v>0.55000000000000004</v>
      </c>
    </row>
    <row r="22" spans="1:5" ht="16.5" x14ac:dyDescent="0.5">
      <c r="A22" s="15" t="s">
        <v>316</v>
      </c>
      <c r="B22" s="13">
        <v>0</v>
      </c>
      <c r="C22" s="11">
        <v>553</v>
      </c>
      <c r="D22" s="22">
        <v>199</v>
      </c>
      <c r="E22" s="22">
        <v>0.64</v>
      </c>
    </row>
    <row r="23" spans="1:5" ht="16.5" x14ac:dyDescent="0.5">
      <c r="A23" s="15" t="s">
        <v>277</v>
      </c>
      <c r="B23" s="13">
        <v>0</v>
      </c>
      <c r="C23" s="11">
        <v>1699</v>
      </c>
      <c r="D23" s="22">
        <v>899</v>
      </c>
      <c r="E23" s="22">
        <v>0.47</v>
      </c>
    </row>
    <row r="24" spans="1:5" ht="16.5" x14ac:dyDescent="0.5">
      <c r="A24" s="15" t="s">
        <v>421</v>
      </c>
      <c r="B24" s="13">
        <v>0</v>
      </c>
      <c r="C24" s="11">
        <v>450</v>
      </c>
      <c r="D24" s="22">
        <v>230</v>
      </c>
      <c r="E24" s="22">
        <v>0.49</v>
      </c>
    </row>
    <row r="25" spans="1:5" ht="16.5" x14ac:dyDescent="0.5">
      <c r="A25" s="15" t="s">
        <v>417</v>
      </c>
      <c r="B25" s="13">
        <v>2.2000000000000002</v>
      </c>
      <c r="C25" s="11">
        <v>1814</v>
      </c>
      <c r="D25" s="22">
        <v>968</v>
      </c>
      <c r="E25" s="22">
        <v>0.47</v>
      </c>
    </row>
    <row r="26" spans="1:5" ht="16.5" x14ac:dyDescent="0.5">
      <c r="A26" s="15" t="s">
        <v>427</v>
      </c>
      <c r="B26" s="13">
        <v>0</v>
      </c>
      <c r="C26" s="11">
        <v>1874</v>
      </c>
      <c r="D26" s="22">
        <v>1080</v>
      </c>
      <c r="E26" s="22">
        <v>0.42</v>
      </c>
    </row>
    <row r="27" spans="1:5" ht="16.5" x14ac:dyDescent="0.5">
      <c r="A27" s="15" t="s">
        <v>429</v>
      </c>
      <c r="B27" s="13">
        <v>0</v>
      </c>
      <c r="C27" s="11">
        <v>2420</v>
      </c>
      <c r="D27" s="22">
        <v>1420</v>
      </c>
      <c r="E27" s="22">
        <v>0.41</v>
      </c>
    </row>
    <row r="28" spans="1:5" ht="16.5" x14ac:dyDescent="0.5">
      <c r="A28" s="15" t="s">
        <v>215</v>
      </c>
      <c r="B28" s="13">
        <v>2.6</v>
      </c>
      <c r="C28" s="11">
        <v>700</v>
      </c>
      <c r="D28" s="22">
        <v>382</v>
      </c>
      <c r="E28" s="22">
        <v>0.45</v>
      </c>
    </row>
    <row r="29" spans="1:5" ht="16.5" x14ac:dyDescent="0.5">
      <c r="A29" s="15" t="s">
        <v>175</v>
      </c>
      <c r="B29" s="13">
        <v>0</v>
      </c>
      <c r="C29" s="11">
        <v>1567</v>
      </c>
      <c r="D29" s="22">
        <v>799</v>
      </c>
      <c r="E29" s="22">
        <v>0.49</v>
      </c>
    </row>
    <row r="30" spans="1:5" ht="16.5" x14ac:dyDescent="0.5">
      <c r="A30" s="15" t="s">
        <v>56</v>
      </c>
      <c r="B30" s="13">
        <v>5</v>
      </c>
      <c r="C30" s="11">
        <v>684</v>
      </c>
      <c r="D30" s="22">
        <v>332</v>
      </c>
      <c r="E30" s="22">
        <v>0.51</v>
      </c>
    </row>
    <row r="31" spans="1:5" ht="16.5" x14ac:dyDescent="0.5">
      <c r="A31" s="15" t="s">
        <v>206</v>
      </c>
      <c r="B31" s="13">
        <v>2.2000000000000002</v>
      </c>
      <c r="C31" s="11">
        <v>1814</v>
      </c>
      <c r="D31" s="22">
        <v>990</v>
      </c>
      <c r="E31" s="22">
        <v>0.45</v>
      </c>
    </row>
    <row r="32" spans="1:5" ht="16.5" x14ac:dyDescent="0.5">
      <c r="A32" s="15" t="s">
        <v>289</v>
      </c>
      <c r="B32" s="13">
        <v>0</v>
      </c>
      <c r="C32" s="11">
        <v>1029</v>
      </c>
      <c r="D32" s="22">
        <v>525</v>
      </c>
      <c r="E32" s="22">
        <v>0.49</v>
      </c>
    </row>
    <row r="33" spans="1:5" ht="16.5" x14ac:dyDescent="0.5">
      <c r="A33" s="15" t="s">
        <v>405</v>
      </c>
      <c r="B33" s="13">
        <v>0</v>
      </c>
      <c r="C33" s="11">
        <v>1060</v>
      </c>
      <c r="D33" s="22">
        <v>610</v>
      </c>
      <c r="E33" s="22">
        <v>0.42</v>
      </c>
    </row>
    <row r="34" spans="1:5" ht="16.5" x14ac:dyDescent="0.5">
      <c r="A34" s="15" t="s">
        <v>245</v>
      </c>
      <c r="B34" s="13">
        <v>5</v>
      </c>
      <c r="C34" s="11">
        <v>1920</v>
      </c>
      <c r="D34" s="22">
        <v>979</v>
      </c>
      <c r="E34" s="22">
        <v>0.49</v>
      </c>
    </row>
    <row r="35" spans="1:5" ht="16.5" x14ac:dyDescent="0.5">
      <c r="A35" s="15" t="s">
        <v>320</v>
      </c>
      <c r="B35" s="13">
        <v>0</v>
      </c>
      <c r="C35" s="11">
        <v>320</v>
      </c>
      <c r="D35" s="22">
        <v>169</v>
      </c>
      <c r="E35" s="22">
        <v>0.47</v>
      </c>
    </row>
    <row r="36" spans="1:5" ht="16.5" x14ac:dyDescent="0.5">
      <c r="A36" s="15" t="s">
        <v>157</v>
      </c>
      <c r="B36" s="13">
        <v>0</v>
      </c>
      <c r="C36" s="11">
        <v>600</v>
      </c>
      <c r="D36" s="22">
        <v>299</v>
      </c>
      <c r="E36" s="22">
        <v>0.5</v>
      </c>
    </row>
    <row r="37" spans="1:5" ht="16.5" x14ac:dyDescent="0.5">
      <c r="A37" s="15" t="s">
        <v>148</v>
      </c>
      <c r="B37" s="13">
        <v>0</v>
      </c>
      <c r="C37" s="11">
        <v>1316</v>
      </c>
      <c r="D37" s="22">
        <v>671</v>
      </c>
      <c r="E37" s="22">
        <v>0.49</v>
      </c>
    </row>
    <row r="38" spans="1:5" ht="16.5" x14ac:dyDescent="0.5">
      <c r="A38" s="15" t="s">
        <v>258</v>
      </c>
      <c r="B38" s="13">
        <v>0</v>
      </c>
      <c r="C38" s="11">
        <v>537</v>
      </c>
      <c r="D38" s="22">
        <v>274</v>
      </c>
      <c r="E38" s="22">
        <v>0.49</v>
      </c>
    </row>
    <row r="39" spans="1:5" ht="16.5" x14ac:dyDescent="0.5">
      <c r="A39" s="15" t="s">
        <v>143</v>
      </c>
      <c r="B39" s="13">
        <v>0</v>
      </c>
      <c r="C39" s="11">
        <v>2000</v>
      </c>
      <c r="D39" s="22">
        <v>999</v>
      </c>
      <c r="E39" s="22">
        <v>0.5</v>
      </c>
    </row>
    <row r="40" spans="1:5" ht="16.5" x14ac:dyDescent="0.5">
      <c r="A40" s="15" t="s">
        <v>173</v>
      </c>
      <c r="B40" s="13">
        <v>0</v>
      </c>
      <c r="C40" s="11">
        <v>1343</v>
      </c>
      <c r="D40" s="22">
        <v>699</v>
      </c>
      <c r="E40" s="22">
        <v>0.48</v>
      </c>
    </row>
    <row r="41" spans="1:5" ht="16.5" x14ac:dyDescent="0.5">
      <c r="A41" s="15" t="s">
        <v>120</v>
      </c>
      <c r="B41" s="13">
        <v>5</v>
      </c>
      <c r="C41" s="11">
        <v>360</v>
      </c>
      <c r="D41" s="22">
        <v>171</v>
      </c>
      <c r="E41" s="22">
        <v>0.53</v>
      </c>
    </row>
    <row r="42" spans="1:5" ht="16.5" x14ac:dyDescent="0.5">
      <c r="A42" s="15" t="s">
        <v>154</v>
      </c>
      <c r="B42" s="13">
        <v>0</v>
      </c>
      <c r="C42" s="11">
        <v>504</v>
      </c>
      <c r="D42" s="22">
        <v>199</v>
      </c>
      <c r="E42" s="22">
        <v>0.61</v>
      </c>
    </row>
    <row r="43" spans="1:5" ht="16.5" x14ac:dyDescent="0.5">
      <c r="A43" s="15" t="s">
        <v>237</v>
      </c>
      <c r="B43" s="13">
        <v>0</v>
      </c>
      <c r="C43" s="11">
        <v>1799</v>
      </c>
      <c r="D43" s="22">
        <v>1732</v>
      </c>
      <c r="E43" s="22">
        <v>0.04</v>
      </c>
    </row>
    <row r="44" spans="1:5" ht="16.5" x14ac:dyDescent="0.5">
      <c r="A44" s="15" t="s">
        <v>168</v>
      </c>
      <c r="B44" s="13">
        <v>0</v>
      </c>
      <c r="C44" s="11">
        <v>1343</v>
      </c>
      <c r="D44" s="22">
        <v>799</v>
      </c>
      <c r="E44" s="22">
        <v>0.41</v>
      </c>
    </row>
    <row r="45" spans="1:5" ht="16.5" x14ac:dyDescent="0.5">
      <c r="A45" s="15" t="s">
        <v>418</v>
      </c>
      <c r="B45" s="13">
        <v>2.1</v>
      </c>
      <c r="C45" s="11">
        <v>2988</v>
      </c>
      <c r="D45" s="22">
        <v>1570</v>
      </c>
      <c r="E45" s="22">
        <v>0.47</v>
      </c>
    </row>
    <row r="46" spans="1:5" ht="16.5" x14ac:dyDescent="0.5">
      <c r="A46" s="15" t="s">
        <v>89</v>
      </c>
      <c r="B46" s="13">
        <v>4.5999999999999996</v>
      </c>
      <c r="C46" s="11">
        <v>647</v>
      </c>
      <c r="D46" s="22">
        <v>420</v>
      </c>
      <c r="E46" s="22">
        <v>0.35</v>
      </c>
    </row>
    <row r="47" spans="1:5" ht="16.5" x14ac:dyDescent="0.5">
      <c r="A47" s="15" t="s">
        <v>102</v>
      </c>
      <c r="B47" s="13">
        <v>4.3</v>
      </c>
      <c r="C47" s="11">
        <v>382</v>
      </c>
      <c r="D47" s="22">
        <v>185</v>
      </c>
      <c r="E47" s="22">
        <v>0.52</v>
      </c>
    </row>
    <row r="48" spans="1:5" ht="16.5" x14ac:dyDescent="0.5">
      <c r="A48" s="15" t="s">
        <v>81</v>
      </c>
      <c r="B48" s="13">
        <v>4.4000000000000004</v>
      </c>
      <c r="C48" s="11">
        <v>2150</v>
      </c>
      <c r="D48" s="22">
        <v>1650</v>
      </c>
      <c r="E48" s="22">
        <v>0.23</v>
      </c>
    </row>
    <row r="49" spans="1:5" ht="16.5" x14ac:dyDescent="0.5">
      <c r="A49" s="15" t="s">
        <v>253</v>
      </c>
      <c r="B49" s="13">
        <v>4</v>
      </c>
      <c r="C49" s="11">
        <v>647</v>
      </c>
      <c r="D49" s="22">
        <v>330</v>
      </c>
      <c r="E49" s="22">
        <v>0.49</v>
      </c>
    </row>
    <row r="50" spans="1:5" ht="16.5" x14ac:dyDescent="0.5">
      <c r="A50" s="15" t="s">
        <v>412</v>
      </c>
      <c r="B50" s="13">
        <v>2.7</v>
      </c>
      <c r="C50" s="11">
        <v>680</v>
      </c>
      <c r="D50" s="22">
        <v>325</v>
      </c>
      <c r="E50" s="22">
        <v>0.52</v>
      </c>
    </row>
    <row r="51" spans="1:5" ht="16.5" x14ac:dyDescent="0.5">
      <c r="A51" s="15" t="s">
        <v>398</v>
      </c>
      <c r="B51" s="13">
        <v>4.3</v>
      </c>
      <c r="C51" s="11">
        <v>4500</v>
      </c>
      <c r="D51" s="22">
        <v>2048</v>
      </c>
      <c r="E51" s="22">
        <v>0.54</v>
      </c>
    </row>
    <row r="52" spans="1:5" ht="16.5" x14ac:dyDescent="0.5">
      <c r="A52" s="15" t="s">
        <v>392</v>
      </c>
      <c r="B52" s="13">
        <v>5</v>
      </c>
      <c r="C52" s="11">
        <v>3971</v>
      </c>
      <c r="D52" s="22">
        <v>2025</v>
      </c>
      <c r="E52" s="22">
        <v>0.49</v>
      </c>
    </row>
    <row r="53" spans="1:5" ht="16.5" x14ac:dyDescent="0.5">
      <c r="A53" s="15" t="s">
        <v>391</v>
      </c>
      <c r="B53" s="13">
        <v>4.5</v>
      </c>
      <c r="C53" s="11">
        <v>860</v>
      </c>
      <c r="D53" s="22">
        <v>501</v>
      </c>
      <c r="E53" s="22">
        <v>0.42</v>
      </c>
    </row>
    <row r="54" spans="1:5" ht="16.5" x14ac:dyDescent="0.5">
      <c r="A54" s="15" t="s">
        <v>388</v>
      </c>
      <c r="B54" s="13">
        <v>4.8</v>
      </c>
      <c r="C54" s="11">
        <v>2800</v>
      </c>
      <c r="D54" s="22">
        <v>1274</v>
      </c>
      <c r="E54" s="22">
        <v>0.55000000000000004</v>
      </c>
    </row>
    <row r="55" spans="1:5" ht="16.5" x14ac:dyDescent="0.5">
      <c r="A55" s="15" t="s">
        <v>400</v>
      </c>
      <c r="B55" s="13">
        <v>4.3</v>
      </c>
      <c r="C55" s="11">
        <v>3490</v>
      </c>
      <c r="D55" s="22">
        <v>1820</v>
      </c>
      <c r="E55" s="22">
        <v>0.48</v>
      </c>
    </row>
    <row r="56" spans="1:5" ht="16.5" x14ac:dyDescent="0.5">
      <c r="A56" s="15" t="s">
        <v>393</v>
      </c>
      <c r="B56" s="13">
        <v>4.5999999999999996</v>
      </c>
      <c r="C56" s="11">
        <v>3699</v>
      </c>
      <c r="D56" s="22">
        <v>2999</v>
      </c>
      <c r="E56" s="22">
        <v>0.19</v>
      </c>
    </row>
    <row r="57" spans="1:5" ht="16.5" x14ac:dyDescent="0.5">
      <c r="A57" s="15" t="s">
        <v>422</v>
      </c>
      <c r="B57" s="13">
        <v>3</v>
      </c>
      <c r="C57" s="11">
        <v>2199</v>
      </c>
      <c r="D57" s="22">
        <v>1189</v>
      </c>
      <c r="E57" s="22">
        <v>0.46</v>
      </c>
    </row>
    <row r="58" spans="1:5" ht="16.5" x14ac:dyDescent="0.5">
      <c r="A58" s="15" t="s">
        <v>10</v>
      </c>
      <c r="B58" s="13">
        <v>4.0999999999999996</v>
      </c>
      <c r="C58" s="11">
        <v>999</v>
      </c>
      <c r="D58" s="22">
        <v>527</v>
      </c>
      <c r="E58" s="22">
        <v>0.47</v>
      </c>
    </row>
    <row r="59" spans="1:5" ht="16.5" x14ac:dyDescent="0.5">
      <c r="A59" s="15" t="s">
        <v>287</v>
      </c>
      <c r="B59" s="13">
        <v>0</v>
      </c>
      <c r="C59" s="11">
        <v>3699</v>
      </c>
      <c r="D59" s="22">
        <v>3546</v>
      </c>
      <c r="E59" s="22">
        <v>0.04</v>
      </c>
    </row>
    <row r="60" spans="1:5" ht="16.5" x14ac:dyDescent="0.5">
      <c r="A60" s="15" t="s">
        <v>404</v>
      </c>
      <c r="B60" s="13">
        <v>0</v>
      </c>
      <c r="C60" s="11">
        <v>476</v>
      </c>
      <c r="D60" s="22">
        <v>238</v>
      </c>
      <c r="E60" s="22">
        <v>0.5</v>
      </c>
    </row>
    <row r="61" spans="1:5" ht="16.5" x14ac:dyDescent="0.5">
      <c r="A61" s="15" t="s">
        <v>266</v>
      </c>
      <c r="B61" s="13">
        <v>0</v>
      </c>
      <c r="C61" s="11">
        <v>1100</v>
      </c>
      <c r="D61" s="22">
        <v>630</v>
      </c>
      <c r="E61" s="22">
        <v>0.43</v>
      </c>
    </row>
    <row r="62" spans="1:5" ht="16.5" x14ac:dyDescent="0.5">
      <c r="A62" s="15" t="s">
        <v>399</v>
      </c>
      <c r="B62" s="13">
        <v>0</v>
      </c>
      <c r="C62" s="11">
        <v>4080</v>
      </c>
      <c r="D62" s="22">
        <v>2200</v>
      </c>
      <c r="E62" s="22">
        <v>0.46</v>
      </c>
    </row>
    <row r="63" spans="1:5" ht="16.5" x14ac:dyDescent="0.5">
      <c r="A63" s="15" t="s">
        <v>407</v>
      </c>
      <c r="B63" s="13">
        <v>0</v>
      </c>
      <c r="C63" s="11">
        <v>1499</v>
      </c>
      <c r="D63" s="22">
        <v>1459</v>
      </c>
      <c r="E63" s="22">
        <v>0.03</v>
      </c>
    </row>
    <row r="64" spans="1:5" ht="16.5" x14ac:dyDescent="0.5">
      <c r="A64" s="15" t="s">
        <v>410</v>
      </c>
      <c r="B64" s="13">
        <v>3</v>
      </c>
      <c r="C64" s="11">
        <v>986</v>
      </c>
      <c r="D64" s="22">
        <v>458</v>
      </c>
      <c r="E64" s="22">
        <v>0.54</v>
      </c>
    </row>
    <row r="65" spans="1:5" ht="16.5" x14ac:dyDescent="0.5">
      <c r="A65" s="15" t="s">
        <v>256</v>
      </c>
      <c r="B65" s="13">
        <v>0</v>
      </c>
      <c r="C65" s="11">
        <v>1699</v>
      </c>
      <c r="D65" s="22">
        <v>1466</v>
      </c>
      <c r="E65" s="22">
        <v>0.14000000000000001</v>
      </c>
    </row>
    <row r="66" spans="1:5" ht="16.5" x14ac:dyDescent="0.5">
      <c r="A66" s="15" t="s">
        <v>425</v>
      </c>
      <c r="B66" s="13">
        <v>0</v>
      </c>
      <c r="C66" s="11">
        <v>900</v>
      </c>
      <c r="D66" s="22">
        <v>799</v>
      </c>
      <c r="E66" s="22">
        <v>0.11</v>
      </c>
    </row>
    <row r="67" spans="1:5" ht="16.5" x14ac:dyDescent="0.5">
      <c r="A67" s="15" t="s">
        <v>60</v>
      </c>
      <c r="B67" s="13">
        <v>5</v>
      </c>
      <c r="C67" s="11">
        <v>360</v>
      </c>
      <c r="D67" s="22">
        <v>195</v>
      </c>
      <c r="E67" s="22">
        <v>0.46</v>
      </c>
    </row>
    <row r="68" spans="1:5" ht="16.5" x14ac:dyDescent="0.5">
      <c r="A68" s="15" t="s">
        <v>160</v>
      </c>
      <c r="B68" s="13">
        <v>0</v>
      </c>
      <c r="C68" s="11">
        <v>1699</v>
      </c>
      <c r="D68" s="22">
        <v>1660</v>
      </c>
      <c r="E68" s="22">
        <v>0.02</v>
      </c>
    </row>
    <row r="69" spans="1:5" ht="16.5" x14ac:dyDescent="0.5">
      <c r="A69" s="15" t="s">
        <v>282</v>
      </c>
      <c r="B69" s="13">
        <v>0</v>
      </c>
      <c r="C69" s="11">
        <v>1499</v>
      </c>
      <c r="D69" s="22">
        <v>1462</v>
      </c>
      <c r="E69" s="22">
        <v>0.02</v>
      </c>
    </row>
    <row r="70" spans="1:5" ht="16.5" x14ac:dyDescent="0.5">
      <c r="A70" s="15" t="s">
        <v>92</v>
      </c>
      <c r="B70" s="13">
        <v>3.8</v>
      </c>
      <c r="C70" s="11">
        <v>3520</v>
      </c>
      <c r="D70" s="22">
        <v>2880</v>
      </c>
      <c r="E70" s="22">
        <v>0.18</v>
      </c>
    </row>
    <row r="71" spans="1:5" ht="16.5" x14ac:dyDescent="0.5">
      <c r="A71" s="15" t="s">
        <v>272</v>
      </c>
      <c r="B71" s="13">
        <v>0</v>
      </c>
      <c r="C71" s="11">
        <v>2500</v>
      </c>
      <c r="D71" s="22">
        <v>1300</v>
      </c>
      <c r="E71" s="22">
        <v>0.48</v>
      </c>
    </row>
    <row r="72" spans="1:5" ht="16.5" x14ac:dyDescent="0.5">
      <c r="A72" s="15" t="s">
        <v>402</v>
      </c>
      <c r="B72" s="13">
        <v>4.3</v>
      </c>
      <c r="C72" s="11">
        <v>656</v>
      </c>
      <c r="D72" s="22">
        <v>389</v>
      </c>
      <c r="E72" s="22">
        <v>0.41</v>
      </c>
    </row>
    <row r="73" spans="1:5" ht="16.5" x14ac:dyDescent="0.5">
      <c r="A73" s="15" t="s">
        <v>274</v>
      </c>
      <c r="B73" s="13">
        <v>0</v>
      </c>
      <c r="C73" s="11">
        <v>200</v>
      </c>
      <c r="D73" s="22">
        <v>105</v>
      </c>
      <c r="E73" s="22">
        <v>0.48</v>
      </c>
    </row>
    <row r="74" spans="1:5" ht="16.5" x14ac:dyDescent="0.5">
      <c r="A74" s="15" t="s">
        <v>140</v>
      </c>
      <c r="B74" s="13">
        <v>0</v>
      </c>
      <c r="C74" s="11">
        <v>2169</v>
      </c>
      <c r="D74" s="22">
        <v>2132</v>
      </c>
      <c r="E74" s="22">
        <v>0.02</v>
      </c>
    </row>
    <row r="75" spans="1:5" ht="16.5" x14ac:dyDescent="0.5">
      <c r="A75" s="15" t="s">
        <v>312</v>
      </c>
      <c r="B75" s="13">
        <v>0</v>
      </c>
      <c r="C75" s="11">
        <v>1699</v>
      </c>
      <c r="D75" s="22">
        <v>1658</v>
      </c>
      <c r="E75" s="22">
        <v>0.02</v>
      </c>
    </row>
    <row r="76" spans="1:5" ht="16.5" x14ac:dyDescent="0.5">
      <c r="A76" s="15" t="s">
        <v>170</v>
      </c>
      <c r="B76" s="13">
        <v>0</v>
      </c>
      <c r="C76" s="11">
        <v>900</v>
      </c>
      <c r="D76" s="22">
        <v>499</v>
      </c>
      <c r="E76" s="22">
        <v>0.45</v>
      </c>
    </row>
    <row r="77" spans="1:5" ht="16.5" x14ac:dyDescent="0.5">
      <c r="A77" s="15" t="s">
        <v>314</v>
      </c>
      <c r="B77" s="13">
        <v>0</v>
      </c>
      <c r="C77" s="11">
        <v>1799</v>
      </c>
      <c r="D77" s="22">
        <v>1768</v>
      </c>
      <c r="E77" s="22">
        <v>0.02</v>
      </c>
    </row>
    <row r="78" spans="1:5" ht="16.5" x14ac:dyDescent="0.5">
      <c r="A78" s="15" t="s">
        <v>269</v>
      </c>
      <c r="B78" s="13">
        <v>0</v>
      </c>
      <c r="C78" s="11">
        <v>1700</v>
      </c>
      <c r="D78" s="22">
        <v>850</v>
      </c>
      <c r="E78" s="22">
        <v>0.5</v>
      </c>
    </row>
    <row r="79" spans="1:5" ht="16.5" x14ac:dyDescent="0.5">
      <c r="A79" s="15" t="s">
        <v>280</v>
      </c>
      <c r="B79" s="13">
        <v>0</v>
      </c>
      <c r="C79" s="11">
        <v>1660</v>
      </c>
      <c r="D79" s="22">
        <v>1526</v>
      </c>
      <c r="E79" s="22">
        <v>0.08</v>
      </c>
    </row>
    <row r="80" spans="1:5" ht="16.5" x14ac:dyDescent="0.5">
      <c r="A80" s="15" t="s">
        <v>434</v>
      </c>
      <c r="B80" s="13">
        <v>2</v>
      </c>
      <c r="C80" s="11">
        <v>900</v>
      </c>
      <c r="D80" s="22">
        <v>450</v>
      </c>
      <c r="E80" s="22">
        <v>0.5</v>
      </c>
    </row>
    <row r="81" spans="1:5" ht="16.5" x14ac:dyDescent="0.5">
      <c r="A81" s="15" t="s">
        <v>264</v>
      </c>
      <c r="B81" s="13">
        <v>0</v>
      </c>
      <c r="C81" s="11">
        <v>1699</v>
      </c>
      <c r="D81" s="22">
        <v>1468</v>
      </c>
      <c r="E81" s="22">
        <v>0.14000000000000001</v>
      </c>
    </row>
    <row r="82" spans="1:5" ht="16.5" x14ac:dyDescent="0.5">
      <c r="A82" s="15" t="s">
        <v>221</v>
      </c>
      <c r="B82" s="13">
        <v>2.2999999999999998</v>
      </c>
      <c r="C82" s="11">
        <v>602</v>
      </c>
      <c r="D82" s="22">
        <v>345</v>
      </c>
      <c r="E82" s="22">
        <v>0.43</v>
      </c>
    </row>
    <row r="83" spans="1:5" ht="16.5" x14ac:dyDescent="0.5">
      <c r="A83" s="15" t="s">
        <v>224</v>
      </c>
      <c r="B83" s="13">
        <v>3</v>
      </c>
      <c r="C83" s="11">
        <v>899</v>
      </c>
      <c r="D83" s="22">
        <v>509</v>
      </c>
      <c r="E83" s="22">
        <v>0.43</v>
      </c>
    </row>
    <row r="84" spans="1:5" ht="16.5" x14ac:dyDescent="0.5">
      <c r="A84" s="15" t="s">
        <v>6</v>
      </c>
      <c r="B84" s="13">
        <v>4.5</v>
      </c>
      <c r="C84" s="11">
        <v>1525</v>
      </c>
      <c r="D84" s="22">
        <v>950</v>
      </c>
      <c r="E84" s="22">
        <v>0.38</v>
      </c>
    </row>
    <row r="85" spans="1:5" ht="16.5" x14ac:dyDescent="0.5">
      <c r="A85" s="15" t="s">
        <v>14</v>
      </c>
      <c r="B85" s="13">
        <v>4.5999999999999996</v>
      </c>
      <c r="C85" s="11">
        <v>2923</v>
      </c>
      <c r="D85" s="22">
        <v>2199</v>
      </c>
      <c r="E85" s="22">
        <v>0.25</v>
      </c>
    </row>
    <row r="86" spans="1:5" ht="16.5" x14ac:dyDescent="0.5">
      <c r="A86" s="15" t="s">
        <v>387</v>
      </c>
      <c r="B86" s="13">
        <v>4.7</v>
      </c>
      <c r="C86" s="11">
        <v>2499</v>
      </c>
      <c r="D86" s="22">
        <v>1580</v>
      </c>
      <c r="E86" s="22">
        <v>0.37</v>
      </c>
    </row>
    <row r="87" spans="1:5" ht="16.5" x14ac:dyDescent="0.5">
      <c r="A87" s="15" t="s">
        <v>22</v>
      </c>
      <c r="B87" s="13">
        <v>4.8</v>
      </c>
      <c r="C87" s="11">
        <v>2356</v>
      </c>
      <c r="D87" s="22">
        <v>1740</v>
      </c>
      <c r="E87" s="22">
        <v>0.26</v>
      </c>
    </row>
    <row r="88" spans="1:5" ht="16.5" x14ac:dyDescent="0.5">
      <c r="A88" s="15" t="s">
        <v>30</v>
      </c>
      <c r="B88" s="13">
        <v>4.5999999999999996</v>
      </c>
      <c r="C88" s="11">
        <v>3032</v>
      </c>
      <c r="D88" s="22">
        <v>2319</v>
      </c>
      <c r="E88" s="22">
        <v>0.24</v>
      </c>
    </row>
    <row r="89" spans="1:5" ht="16.5" x14ac:dyDescent="0.5">
      <c r="A89" s="15" t="s">
        <v>33</v>
      </c>
      <c r="B89" s="13">
        <v>4</v>
      </c>
      <c r="C89" s="11">
        <v>1580</v>
      </c>
      <c r="D89" s="22">
        <v>988</v>
      </c>
      <c r="E89" s="22">
        <v>0.37</v>
      </c>
    </row>
    <row r="90" spans="1:5" ht="16.5" x14ac:dyDescent="0.5">
      <c r="A90" s="15" t="s">
        <v>389</v>
      </c>
      <c r="B90" s="13">
        <v>4.0999999999999996</v>
      </c>
      <c r="C90" s="11">
        <v>999</v>
      </c>
      <c r="D90" s="22">
        <v>799</v>
      </c>
      <c r="E90" s="22">
        <v>0.2</v>
      </c>
    </row>
    <row r="91" spans="1:5" ht="16.5" x14ac:dyDescent="0.5">
      <c r="A91" s="15" t="s">
        <v>44</v>
      </c>
      <c r="B91" s="13">
        <v>4.7</v>
      </c>
      <c r="C91" s="11">
        <v>1500</v>
      </c>
      <c r="D91" s="22">
        <v>990</v>
      </c>
      <c r="E91" s="22">
        <v>0.34</v>
      </c>
    </row>
    <row r="92" spans="1:5" ht="16.5" x14ac:dyDescent="0.5">
      <c r="A92" s="15" t="s">
        <v>53</v>
      </c>
      <c r="B92" s="13">
        <v>4.2</v>
      </c>
      <c r="C92" s="11">
        <v>2499</v>
      </c>
      <c r="D92" s="22">
        <v>1680</v>
      </c>
      <c r="E92" s="22">
        <v>0.33</v>
      </c>
    </row>
    <row r="93" spans="1:5" ht="16.5" x14ac:dyDescent="0.5">
      <c r="A93" s="15" t="s">
        <v>397</v>
      </c>
      <c r="B93" s="13">
        <v>4</v>
      </c>
      <c r="C93" s="11">
        <v>1350</v>
      </c>
      <c r="D93" s="22">
        <v>880</v>
      </c>
      <c r="E93" s="22">
        <v>0.35</v>
      </c>
    </row>
    <row r="94" spans="1:5" ht="16.5" x14ac:dyDescent="0.5">
      <c r="A94" s="15" t="s">
        <v>95</v>
      </c>
      <c r="B94" s="13">
        <v>3.8</v>
      </c>
      <c r="C94" s="11">
        <v>1990</v>
      </c>
      <c r="D94" s="22">
        <v>1350</v>
      </c>
      <c r="E94" s="22">
        <v>0.32</v>
      </c>
    </row>
    <row r="95" spans="1:5" ht="16.5" x14ac:dyDescent="0.5">
      <c r="A95" s="15" t="s">
        <v>97</v>
      </c>
      <c r="B95" s="13">
        <v>4.0999999999999996</v>
      </c>
      <c r="C95" s="11">
        <v>2499</v>
      </c>
      <c r="D95" s="22">
        <v>1758</v>
      </c>
      <c r="E95" s="22">
        <v>0.3</v>
      </c>
    </row>
    <row r="96" spans="1:5" ht="16.5" x14ac:dyDescent="0.5">
      <c r="A96" s="15" t="s">
        <v>105</v>
      </c>
      <c r="B96" s="13">
        <v>4.7</v>
      </c>
      <c r="C96" s="11">
        <v>1490</v>
      </c>
      <c r="D96" s="22">
        <v>980</v>
      </c>
      <c r="E96" s="22">
        <v>0.34</v>
      </c>
    </row>
    <row r="97" spans="1:5" ht="16.5" x14ac:dyDescent="0.5">
      <c r="A97" s="15" t="s">
        <v>111</v>
      </c>
      <c r="B97" s="13">
        <v>4.7</v>
      </c>
      <c r="C97" s="11">
        <v>2650</v>
      </c>
      <c r="D97" s="22">
        <v>1940</v>
      </c>
      <c r="E97" s="22">
        <v>0.27</v>
      </c>
    </row>
    <row r="98" spans="1:5" ht="16.5" x14ac:dyDescent="0.5">
      <c r="A98" s="15" t="s">
        <v>114</v>
      </c>
      <c r="B98" s="13">
        <v>4.5</v>
      </c>
      <c r="C98" s="11">
        <v>2699</v>
      </c>
      <c r="D98" s="22">
        <v>1980</v>
      </c>
      <c r="E98" s="22">
        <v>0.27</v>
      </c>
    </row>
    <row r="99" spans="1:5" ht="16.5" x14ac:dyDescent="0.5">
      <c r="A99" s="15" t="s">
        <v>401</v>
      </c>
      <c r="B99" s="13">
        <v>5</v>
      </c>
      <c r="C99" s="11">
        <v>2690</v>
      </c>
      <c r="D99" s="22">
        <v>1620</v>
      </c>
      <c r="E99" s="22">
        <v>0.4</v>
      </c>
    </row>
    <row r="100" spans="1:5" ht="16.5" x14ac:dyDescent="0.5">
      <c r="A100" s="15" t="s">
        <v>403</v>
      </c>
      <c r="B100" s="13">
        <v>0</v>
      </c>
      <c r="C100" s="11">
        <v>4471</v>
      </c>
      <c r="D100" s="22">
        <v>2750</v>
      </c>
      <c r="E100" s="22">
        <v>0.38</v>
      </c>
    </row>
    <row r="101" spans="1:5" ht="16.5" x14ac:dyDescent="0.5">
      <c r="A101" s="15" t="s">
        <v>145</v>
      </c>
      <c r="B101" s="13">
        <v>0</v>
      </c>
      <c r="C101" s="11">
        <v>1785</v>
      </c>
      <c r="D101" s="22">
        <v>1190</v>
      </c>
      <c r="E101" s="22">
        <v>0.33</v>
      </c>
    </row>
    <row r="102" spans="1:5" ht="16.5" x14ac:dyDescent="0.5">
      <c r="A102" s="15" t="s">
        <v>406</v>
      </c>
      <c r="B102" s="13">
        <v>0</v>
      </c>
      <c r="C102" s="11">
        <v>1950</v>
      </c>
      <c r="D102" s="22">
        <v>1200</v>
      </c>
      <c r="E102" s="22">
        <v>0.38</v>
      </c>
    </row>
    <row r="103" spans="1:5" ht="16.5" x14ac:dyDescent="0.5">
      <c r="A103" s="15" t="s">
        <v>163</v>
      </c>
      <c r="B103" s="13">
        <v>0</v>
      </c>
      <c r="C103" s="11">
        <v>384</v>
      </c>
      <c r="D103" s="22">
        <v>299</v>
      </c>
      <c r="E103" s="22">
        <v>0.22</v>
      </c>
    </row>
    <row r="104" spans="1:5" ht="16.5" x14ac:dyDescent="0.5">
      <c r="A104" s="15" t="s">
        <v>408</v>
      </c>
      <c r="B104" s="13">
        <v>0</v>
      </c>
      <c r="C104" s="11">
        <v>3810</v>
      </c>
      <c r="D104" s="22">
        <v>2799</v>
      </c>
      <c r="E104" s="22">
        <v>0.27</v>
      </c>
    </row>
    <row r="105" spans="1:5" ht="16.5" x14ac:dyDescent="0.5">
      <c r="A105" s="15" t="s">
        <v>413</v>
      </c>
      <c r="B105" s="13">
        <v>2.9</v>
      </c>
      <c r="C105" s="11">
        <v>1555</v>
      </c>
      <c r="D105" s="22">
        <v>1220</v>
      </c>
      <c r="E105" s="22">
        <v>0.22</v>
      </c>
    </row>
    <row r="106" spans="1:5" ht="16.5" x14ac:dyDescent="0.5">
      <c r="A106" s="15" t="s">
        <v>415</v>
      </c>
      <c r="B106" s="13">
        <v>3</v>
      </c>
      <c r="C106" s="11">
        <v>6143</v>
      </c>
      <c r="D106" s="22">
        <v>3750</v>
      </c>
      <c r="E106" s="22">
        <v>0.39</v>
      </c>
    </row>
    <row r="107" spans="1:5" ht="16.5" x14ac:dyDescent="0.5">
      <c r="A107" s="15" t="s">
        <v>416</v>
      </c>
      <c r="B107" s="13">
        <v>3</v>
      </c>
      <c r="C107" s="11">
        <v>3240</v>
      </c>
      <c r="D107" s="22">
        <v>2300</v>
      </c>
      <c r="E107" s="22">
        <v>0.28999999999999998</v>
      </c>
    </row>
    <row r="108" spans="1:5" ht="16.5" x14ac:dyDescent="0.5">
      <c r="A108" s="15" t="s">
        <v>423</v>
      </c>
      <c r="B108" s="13">
        <v>0</v>
      </c>
      <c r="C108" s="11">
        <v>2290</v>
      </c>
      <c r="D108" s="22">
        <v>1460</v>
      </c>
      <c r="E108" s="22">
        <v>0.36</v>
      </c>
    </row>
    <row r="109" spans="1:5" ht="16.5" x14ac:dyDescent="0.5">
      <c r="A109" s="15" t="s">
        <v>428</v>
      </c>
      <c r="B109" s="13">
        <v>5</v>
      </c>
      <c r="C109" s="11">
        <v>4588</v>
      </c>
      <c r="D109" s="22">
        <v>3640</v>
      </c>
      <c r="E109" s="22">
        <v>0.21</v>
      </c>
    </row>
    <row r="110" spans="1:5" ht="16.5" x14ac:dyDescent="0.5">
      <c r="A110" s="15" t="s">
        <v>431</v>
      </c>
      <c r="B110" s="13">
        <v>0</v>
      </c>
      <c r="C110" s="11">
        <v>260</v>
      </c>
      <c r="D110" s="22">
        <v>198</v>
      </c>
      <c r="E110" s="22">
        <v>0.24</v>
      </c>
    </row>
    <row r="111" spans="1:5" ht="16.5" x14ac:dyDescent="0.5">
      <c r="A111" s="15" t="s">
        <v>432</v>
      </c>
      <c r="B111" s="13">
        <v>0</v>
      </c>
      <c r="C111" s="11">
        <v>1737</v>
      </c>
      <c r="D111" s="22">
        <v>1150</v>
      </c>
      <c r="E111" s="22">
        <v>0.34</v>
      </c>
    </row>
    <row r="112" spans="1:5" ht="16.5" x14ac:dyDescent="0.5">
      <c r="A112" s="15" t="s">
        <v>433</v>
      </c>
      <c r="B112" s="13">
        <v>0</v>
      </c>
      <c r="C112" s="11">
        <v>1810</v>
      </c>
      <c r="D112" s="22">
        <v>1190</v>
      </c>
      <c r="E112" s="22">
        <v>0.34</v>
      </c>
    </row>
    <row r="113" spans="1:5" ht="16.5" x14ac:dyDescent="0.5">
      <c r="A113" s="15" t="s">
        <v>446</v>
      </c>
      <c r="B113" s="13">
        <v>2.0111111111111106</v>
      </c>
      <c r="C113" s="11">
        <v>1829.7685185185185</v>
      </c>
      <c r="D113" s="22">
        <v>1202.7777777777778</v>
      </c>
      <c r="E113" s="22">
        <v>0.36370370370370392</v>
      </c>
    </row>
    <row r="115" spans="1:5" ht="16.5" x14ac:dyDescent="0.5">
      <c r="A115" s="16" t="s">
        <v>454</v>
      </c>
    </row>
    <row r="116" spans="1:5" ht="16.5" x14ac:dyDescent="0.5">
      <c r="A116" s="14" t="s">
        <v>455</v>
      </c>
      <c r="B116" t="s">
        <v>447</v>
      </c>
    </row>
    <row r="117" spans="1:5" ht="16.5" x14ac:dyDescent="0.5">
      <c r="A117" s="15" t="s">
        <v>415</v>
      </c>
      <c r="B117" s="11">
        <v>6143</v>
      </c>
    </row>
    <row r="118" spans="1:5" ht="16.5" x14ac:dyDescent="0.5">
      <c r="A118" s="15" t="s">
        <v>411</v>
      </c>
      <c r="B118" s="11">
        <v>4700</v>
      </c>
    </row>
    <row r="119" spans="1:5" ht="16.5" x14ac:dyDescent="0.5">
      <c r="A119" s="15" t="s">
        <v>428</v>
      </c>
      <c r="B119" s="11">
        <v>4588</v>
      </c>
    </row>
    <row r="120" spans="1:5" ht="16.5" x14ac:dyDescent="0.5">
      <c r="A120" s="15" t="s">
        <v>398</v>
      </c>
      <c r="B120" s="11">
        <v>4500</v>
      </c>
    </row>
    <row r="121" spans="1:5" ht="16.5" x14ac:dyDescent="0.5">
      <c r="A121" s="15" t="s">
        <v>403</v>
      </c>
      <c r="B121" s="11">
        <v>4471</v>
      </c>
    </row>
    <row r="122" spans="1:5" ht="16.5" x14ac:dyDescent="0.5">
      <c r="A122" s="15" t="s">
        <v>399</v>
      </c>
      <c r="B122" s="11">
        <v>4080</v>
      </c>
    </row>
    <row r="123" spans="1:5" ht="16.5" x14ac:dyDescent="0.5">
      <c r="A123" s="15" t="s">
        <v>392</v>
      </c>
      <c r="B123" s="11">
        <v>3971</v>
      </c>
    </row>
    <row r="124" spans="1:5" ht="16.5" x14ac:dyDescent="0.5">
      <c r="A124" s="15" t="s">
        <v>408</v>
      </c>
      <c r="B124" s="11">
        <v>3810</v>
      </c>
    </row>
    <row r="125" spans="1:5" ht="16.5" x14ac:dyDescent="0.5">
      <c r="A125" s="15" t="s">
        <v>393</v>
      </c>
      <c r="B125" s="11">
        <v>3699</v>
      </c>
    </row>
    <row r="126" spans="1:5" ht="16.5" x14ac:dyDescent="0.5">
      <c r="A126" s="15" t="s">
        <v>287</v>
      </c>
      <c r="B126" s="11">
        <v>3699</v>
      </c>
    </row>
    <row r="127" spans="1:5" ht="16.5" x14ac:dyDescent="0.5">
      <c r="A127" s="15" t="s">
        <v>92</v>
      </c>
      <c r="B127" s="11">
        <v>3520</v>
      </c>
    </row>
    <row r="128" spans="1:5" ht="16.5" x14ac:dyDescent="0.5">
      <c r="A128" s="15" t="s">
        <v>400</v>
      </c>
      <c r="B128" s="11">
        <v>3490</v>
      </c>
    </row>
    <row r="129" spans="1:2" ht="16.5" x14ac:dyDescent="0.5">
      <c r="A129" s="15" t="s">
        <v>26</v>
      </c>
      <c r="B129" s="11">
        <v>3290</v>
      </c>
    </row>
    <row r="130" spans="1:2" ht="16.5" x14ac:dyDescent="0.5">
      <c r="A130" s="15" t="s">
        <v>416</v>
      </c>
      <c r="B130" s="11">
        <v>3240</v>
      </c>
    </row>
    <row r="131" spans="1:2" ht="16.5" x14ac:dyDescent="0.5">
      <c r="A131" s="15" t="s">
        <v>396</v>
      </c>
      <c r="B131" s="11">
        <v>3220</v>
      </c>
    </row>
    <row r="132" spans="1:2" ht="16.5" x14ac:dyDescent="0.5">
      <c r="A132" s="15" t="s">
        <v>30</v>
      </c>
      <c r="B132" s="11">
        <v>3032</v>
      </c>
    </row>
    <row r="133" spans="1:2" ht="16.5" x14ac:dyDescent="0.5">
      <c r="A133" s="15" t="s">
        <v>418</v>
      </c>
      <c r="B133" s="11">
        <v>2988</v>
      </c>
    </row>
    <row r="134" spans="1:2" ht="16.5" x14ac:dyDescent="0.5">
      <c r="A134" s="15" t="s">
        <v>38</v>
      </c>
      <c r="B134" s="11">
        <v>2929</v>
      </c>
    </row>
    <row r="135" spans="1:2" ht="16.5" x14ac:dyDescent="0.5">
      <c r="A135" s="15" t="s">
        <v>14</v>
      </c>
      <c r="B135" s="11">
        <v>2923</v>
      </c>
    </row>
    <row r="136" spans="1:2" ht="16.5" x14ac:dyDescent="0.5">
      <c r="A136" s="15" t="s">
        <v>388</v>
      </c>
      <c r="B136" s="11">
        <v>2800</v>
      </c>
    </row>
    <row r="137" spans="1:2" ht="16.5" x14ac:dyDescent="0.5">
      <c r="A137" s="15" t="s">
        <v>114</v>
      </c>
      <c r="B137" s="11">
        <v>2699</v>
      </c>
    </row>
    <row r="138" spans="1:2" ht="16.5" x14ac:dyDescent="0.5">
      <c r="A138" s="15" t="s">
        <v>401</v>
      </c>
      <c r="B138" s="11">
        <v>2690</v>
      </c>
    </row>
    <row r="139" spans="1:2" ht="16.5" x14ac:dyDescent="0.5">
      <c r="A139" s="15" t="s">
        <v>111</v>
      </c>
      <c r="B139" s="11">
        <v>2650</v>
      </c>
    </row>
    <row r="140" spans="1:2" ht="16.5" x14ac:dyDescent="0.5">
      <c r="A140" s="15" t="s">
        <v>409</v>
      </c>
      <c r="B140" s="11">
        <v>2500</v>
      </c>
    </row>
    <row r="141" spans="1:2" ht="16.5" x14ac:dyDescent="0.5">
      <c r="A141" s="15" t="s">
        <v>272</v>
      </c>
      <c r="B141" s="11">
        <v>2500</v>
      </c>
    </row>
    <row r="142" spans="1:2" ht="16.5" x14ac:dyDescent="0.5">
      <c r="A142" s="15" t="s">
        <v>97</v>
      </c>
      <c r="B142" s="11">
        <v>2499</v>
      </c>
    </row>
    <row r="143" spans="1:2" ht="16.5" x14ac:dyDescent="0.5">
      <c r="A143" s="15" t="s">
        <v>53</v>
      </c>
      <c r="B143" s="11">
        <v>2499</v>
      </c>
    </row>
    <row r="144" spans="1:2" ht="16.5" x14ac:dyDescent="0.5">
      <c r="A144" s="15" t="s">
        <v>387</v>
      </c>
      <c r="B144" s="11">
        <v>2499</v>
      </c>
    </row>
    <row r="145" spans="1:2" ht="16.5" x14ac:dyDescent="0.5">
      <c r="A145" s="15" t="s">
        <v>429</v>
      </c>
      <c r="B145" s="11">
        <v>2420</v>
      </c>
    </row>
    <row r="146" spans="1:2" ht="16.5" x14ac:dyDescent="0.5">
      <c r="A146" s="15" t="s">
        <v>426</v>
      </c>
      <c r="B146" s="11">
        <v>2400</v>
      </c>
    </row>
    <row r="147" spans="1:2" ht="16.5" x14ac:dyDescent="0.5">
      <c r="A147" s="15" t="s">
        <v>22</v>
      </c>
      <c r="B147" s="11">
        <v>2356</v>
      </c>
    </row>
    <row r="148" spans="1:2" ht="16.5" x14ac:dyDescent="0.5">
      <c r="A148" s="15" t="s">
        <v>423</v>
      </c>
      <c r="B148" s="11">
        <v>2290</v>
      </c>
    </row>
    <row r="149" spans="1:2" ht="16.5" x14ac:dyDescent="0.5">
      <c r="A149" s="15" t="s">
        <v>422</v>
      </c>
      <c r="B149" s="11">
        <v>2199</v>
      </c>
    </row>
    <row r="150" spans="1:2" ht="16.5" x14ac:dyDescent="0.5">
      <c r="A150" s="15" t="s">
        <v>140</v>
      </c>
      <c r="B150" s="11">
        <v>2169</v>
      </c>
    </row>
    <row r="151" spans="1:2" ht="16.5" x14ac:dyDescent="0.5">
      <c r="A151" s="15" t="s">
        <v>81</v>
      </c>
      <c r="B151" s="11">
        <v>2150</v>
      </c>
    </row>
    <row r="152" spans="1:2" ht="16.5" x14ac:dyDescent="0.5">
      <c r="A152" s="15" t="s">
        <v>143</v>
      </c>
      <c r="B152" s="11">
        <v>2000</v>
      </c>
    </row>
    <row r="153" spans="1:2" ht="16.5" x14ac:dyDescent="0.5">
      <c r="A153" s="15" t="s">
        <v>414</v>
      </c>
      <c r="B153" s="11">
        <v>2000</v>
      </c>
    </row>
    <row r="154" spans="1:2" ht="16.5" x14ac:dyDescent="0.5">
      <c r="A154" s="15" t="s">
        <v>95</v>
      </c>
      <c r="B154" s="11">
        <v>1990</v>
      </c>
    </row>
    <row r="155" spans="1:2" ht="16.5" x14ac:dyDescent="0.5">
      <c r="A155" s="15" t="s">
        <v>394</v>
      </c>
      <c r="B155" s="11">
        <v>1966</v>
      </c>
    </row>
    <row r="156" spans="1:2" ht="16.5" x14ac:dyDescent="0.5">
      <c r="A156" s="15" t="s">
        <v>406</v>
      </c>
      <c r="B156" s="11">
        <v>1950</v>
      </c>
    </row>
    <row r="157" spans="1:2" ht="16.5" x14ac:dyDescent="0.5">
      <c r="A157" s="15" t="s">
        <v>245</v>
      </c>
      <c r="B157" s="11">
        <v>1920</v>
      </c>
    </row>
    <row r="158" spans="1:2" ht="16.5" x14ac:dyDescent="0.5">
      <c r="A158" s="15" t="s">
        <v>430</v>
      </c>
      <c r="B158" s="11">
        <v>1899</v>
      </c>
    </row>
    <row r="159" spans="1:2" ht="16.5" x14ac:dyDescent="0.5">
      <c r="A159" s="15" t="s">
        <v>427</v>
      </c>
      <c r="B159" s="11">
        <v>1874</v>
      </c>
    </row>
    <row r="160" spans="1:2" ht="16.5" x14ac:dyDescent="0.5">
      <c r="A160" s="15" t="s">
        <v>206</v>
      </c>
      <c r="B160" s="11">
        <v>1814</v>
      </c>
    </row>
    <row r="161" spans="1:2" ht="16.5" x14ac:dyDescent="0.5">
      <c r="A161" s="15" t="s">
        <v>417</v>
      </c>
      <c r="B161" s="11">
        <v>1814</v>
      </c>
    </row>
    <row r="162" spans="1:2" ht="16.5" x14ac:dyDescent="0.5">
      <c r="A162" s="15" t="s">
        <v>433</v>
      </c>
      <c r="B162" s="11">
        <v>1810</v>
      </c>
    </row>
    <row r="163" spans="1:2" ht="16.5" x14ac:dyDescent="0.5">
      <c r="A163" s="15" t="s">
        <v>237</v>
      </c>
      <c r="B163" s="11">
        <v>1799</v>
      </c>
    </row>
    <row r="164" spans="1:2" ht="16.5" x14ac:dyDescent="0.5">
      <c r="A164" s="15" t="s">
        <v>314</v>
      </c>
      <c r="B164" s="11">
        <v>1799</v>
      </c>
    </row>
    <row r="165" spans="1:2" ht="16.5" x14ac:dyDescent="0.5">
      <c r="A165" s="15" t="s">
        <v>145</v>
      </c>
      <c r="B165" s="11">
        <v>1785</v>
      </c>
    </row>
    <row r="166" spans="1:2" ht="16.5" x14ac:dyDescent="0.5">
      <c r="A166" s="15" t="s">
        <v>432</v>
      </c>
      <c r="B166" s="11">
        <v>1737</v>
      </c>
    </row>
    <row r="167" spans="1:2" ht="16.5" x14ac:dyDescent="0.5">
      <c r="A167" s="15" t="s">
        <v>269</v>
      </c>
      <c r="B167" s="11">
        <v>1700</v>
      </c>
    </row>
    <row r="168" spans="1:2" ht="16.5" x14ac:dyDescent="0.5">
      <c r="A168" s="15" t="s">
        <v>312</v>
      </c>
      <c r="B168" s="11">
        <v>1699</v>
      </c>
    </row>
    <row r="169" spans="1:2" ht="16.5" x14ac:dyDescent="0.5">
      <c r="A169" s="15" t="s">
        <v>277</v>
      </c>
      <c r="B169" s="11">
        <v>1699</v>
      </c>
    </row>
    <row r="170" spans="1:2" ht="16.5" x14ac:dyDescent="0.5">
      <c r="A170" s="15" t="s">
        <v>424</v>
      </c>
      <c r="B170" s="11">
        <v>1699</v>
      </c>
    </row>
    <row r="171" spans="1:2" ht="16.5" x14ac:dyDescent="0.5">
      <c r="A171" s="15" t="s">
        <v>264</v>
      </c>
      <c r="B171" s="11">
        <v>1699</v>
      </c>
    </row>
    <row r="172" spans="1:2" ht="16.5" x14ac:dyDescent="0.5">
      <c r="A172" s="15" t="s">
        <v>256</v>
      </c>
      <c r="B172" s="11">
        <v>1699</v>
      </c>
    </row>
    <row r="173" spans="1:2" ht="16.5" x14ac:dyDescent="0.5">
      <c r="A173" s="15" t="s">
        <v>160</v>
      </c>
      <c r="B173" s="11">
        <v>1699</v>
      </c>
    </row>
    <row r="174" spans="1:2" ht="16.5" x14ac:dyDescent="0.5">
      <c r="A174" s="15" t="s">
        <v>280</v>
      </c>
      <c r="B174" s="11">
        <v>1660</v>
      </c>
    </row>
    <row r="175" spans="1:2" ht="16.5" x14ac:dyDescent="0.5">
      <c r="A175" s="15" t="s">
        <v>33</v>
      </c>
      <c r="B175" s="11">
        <v>1580</v>
      </c>
    </row>
    <row r="176" spans="1:2" ht="16.5" x14ac:dyDescent="0.5">
      <c r="A176" s="15" t="s">
        <v>175</v>
      </c>
      <c r="B176" s="11">
        <v>1567</v>
      </c>
    </row>
    <row r="177" spans="1:2" ht="16.5" x14ac:dyDescent="0.5">
      <c r="A177" s="15" t="s">
        <v>413</v>
      </c>
      <c r="B177" s="11">
        <v>1555</v>
      </c>
    </row>
    <row r="178" spans="1:2" ht="16.5" x14ac:dyDescent="0.5">
      <c r="A178" s="15" t="s">
        <v>6</v>
      </c>
      <c r="B178" s="11">
        <v>1525</v>
      </c>
    </row>
    <row r="179" spans="1:2" ht="16.5" x14ac:dyDescent="0.5">
      <c r="A179" s="15" t="s">
        <v>44</v>
      </c>
      <c r="B179" s="11">
        <v>1500</v>
      </c>
    </row>
    <row r="180" spans="1:2" ht="16.5" x14ac:dyDescent="0.5">
      <c r="A180" s="15" t="s">
        <v>407</v>
      </c>
      <c r="B180" s="11">
        <v>1499</v>
      </c>
    </row>
    <row r="181" spans="1:2" ht="16.5" x14ac:dyDescent="0.5">
      <c r="A181" s="15" t="s">
        <v>282</v>
      </c>
      <c r="B181" s="11">
        <v>1499</v>
      </c>
    </row>
    <row r="182" spans="1:2" ht="16.5" x14ac:dyDescent="0.5">
      <c r="A182" s="15" t="s">
        <v>105</v>
      </c>
      <c r="B182" s="11">
        <v>1490</v>
      </c>
    </row>
    <row r="183" spans="1:2" ht="16.5" x14ac:dyDescent="0.5">
      <c r="A183" s="15" t="s">
        <v>419</v>
      </c>
      <c r="B183" s="11">
        <v>1485</v>
      </c>
    </row>
    <row r="184" spans="1:2" ht="16.5" x14ac:dyDescent="0.5">
      <c r="A184" s="15" t="s">
        <v>397</v>
      </c>
      <c r="B184" s="11">
        <v>1350</v>
      </c>
    </row>
    <row r="185" spans="1:2" ht="16.5" x14ac:dyDescent="0.5">
      <c r="A185" s="15" t="s">
        <v>173</v>
      </c>
      <c r="B185" s="11">
        <v>1343</v>
      </c>
    </row>
    <row r="186" spans="1:2" ht="16.5" x14ac:dyDescent="0.5">
      <c r="A186" s="15" t="s">
        <v>168</v>
      </c>
      <c r="B186" s="11">
        <v>1343</v>
      </c>
    </row>
    <row r="187" spans="1:2" ht="16.5" x14ac:dyDescent="0.5">
      <c r="A187" s="15" t="s">
        <v>148</v>
      </c>
      <c r="B187" s="11">
        <v>1316</v>
      </c>
    </row>
    <row r="188" spans="1:2" ht="16.5" x14ac:dyDescent="0.5">
      <c r="A188" s="15" t="s">
        <v>420</v>
      </c>
      <c r="B188" s="11">
        <v>1200</v>
      </c>
    </row>
    <row r="189" spans="1:2" ht="16.5" x14ac:dyDescent="0.5">
      <c r="A189" s="15" t="s">
        <v>266</v>
      </c>
      <c r="B189" s="11">
        <v>1100</v>
      </c>
    </row>
    <row r="190" spans="1:2" ht="16.5" x14ac:dyDescent="0.5">
      <c r="A190" s="15" t="s">
        <v>405</v>
      </c>
      <c r="B190" s="11">
        <v>1060</v>
      </c>
    </row>
    <row r="191" spans="1:2" ht="16.5" x14ac:dyDescent="0.5">
      <c r="A191" s="15" t="s">
        <v>390</v>
      </c>
      <c r="B191" s="11">
        <v>1035</v>
      </c>
    </row>
    <row r="192" spans="1:2" ht="16.5" x14ac:dyDescent="0.5">
      <c r="A192" s="15" t="s">
        <v>289</v>
      </c>
      <c r="B192" s="11">
        <v>1029</v>
      </c>
    </row>
    <row r="193" spans="1:2" ht="16.5" x14ac:dyDescent="0.5">
      <c r="A193" s="15" t="s">
        <v>389</v>
      </c>
      <c r="B193" s="11">
        <v>999</v>
      </c>
    </row>
    <row r="194" spans="1:2" ht="16.5" x14ac:dyDescent="0.5">
      <c r="A194" s="15" t="s">
        <v>10</v>
      </c>
      <c r="B194" s="11">
        <v>999</v>
      </c>
    </row>
    <row r="195" spans="1:2" ht="16.5" x14ac:dyDescent="0.5">
      <c r="A195" s="15" t="s">
        <v>410</v>
      </c>
      <c r="B195" s="11">
        <v>986</v>
      </c>
    </row>
    <row r="196" spans="1:2" ht="16.5" x14ac:dyDescent="0.5">
      <c r="A196" s="15" t="s">
        <v>131</v>
      </c>
      <c r="B196" s="11">
        <v>931</v>
      </c>
    </row>
    <row r="197" spans="1:2" ht="16.5" x14ac:dyDescent="0.5">
      <c r="A197" s="15" t="s">
        <v>434</v>
      </c>
      <c r="B197" s="11">
        <v>900</v>
      </c>
    </row>
    <row r="198" spans="1:2" ht="16.5" x14ac:dyDescent="0.5">
      <c r="A198" s="15" t="s">
        <v>170</v>
      </c>
      <c r="B198" s="11">
        <v>900</v>
      </c>
    </row>
    <row r="199" spans="1:2" ht="16.5" x14ac:dyDescent="0.5">
      <c r="A199" s="15" t="s">
        <v>425</v>
      </c>
      <c r="B199" s="11">
        <v>900</v>
      </c>
    </row>
    <row r="200" spans="1:2" ht="16.5" x14ac:dyDescent="0.5">
      <c r="A200" s="15" t="s">
        <v>224</v>
      </c>
      <c r="B200" s="11">
        <v>899</v>
      </c>
    </row>
    <row r="201" spans="1:2" ht="16.5" x14ac:dyDescent="0.5">
      <c r="A201" s="15" t="s">
        <v>194</v>
      </c>
      <c r="B201" s="11">
        <v>873</v>
      </c>
    </row>
    <row r="202" spans="1:2" ht="16.5" x14ac:dyDescent="0.5">
      <c r="A202" s="15" t="s">
        <v>391</v>
      </c>
      <c r="B202" s="11">
        <v>860</v>
      </c>
    </row>
    <row r="203" spans="1:2" ht="16.5" x14ac:dyDescent="0.5">
      <c r="A203" s="15" t="s">
        <v>215</v>
      </c>
      <c r="B203" s="11">
        <v>700</v>
      </c>
    </row>
    <row r="204" spans="1:2" ht="16.5" x14ac:dyDescent="0.5">
      <c r="A204" s="15" t="s">
        <v>56</v>
      </c>
      <c r="B204" s="11">
        <v>684</v>
      </c>
    </row>
    <row r="205" spans="1:2" ht="16.5" x14ac:dyDescent="0.5">
      <c r="A205" s="15" t="s">
        <v>412</v>
      </c>
      <c r="B205" s="11">
        <v>680</v>
      </c>
    </row>
    <row r="206" spans="1:2" ht="16.5" x14ac:dyDescent="0.5">
      <c r="A206" s="15" t="s">
        <v>402</v>
      </c>
      <c r="B206" s="11">
        <v>656</v>
      </c>
    </row>
    <row r="207" spans="1:2" ht="16.5" x14ac:dyDescent="0.5">
      <c r="A207" s="15" t="s">
        <v>89</v>
      </c>
      <c r="B207" s="11">
        <v>647</v>
      </c>
    </row>
    <row r="208" spans="1:2" ht="16.5" x14ac:dyDescent="0.5">
      <c r="A208" s="15" t="s">
        <v>253</v>
      </c>
      <c r="B208" s="11">
        <v>647</v>
      </c>
    </row>
    <row r="209" spans="1:2" ht="16.5" x14ac:dyDescent="0.5">
      <c r="A209" s="15" t="s">
        <v>221</v>
      </c>
      <c r="B209" s="11">
        <v>602</v>
      </c>
    </row>
    <row r="210" spans="1:2" ht="16.5" x14ac:dyDescent="0.5">
      <c r="A210" s="15" t="s">
        <v>157</v>
      </c>
      <c r="B210" s="11">
        <v>600</v>
      </c>
    </row>
    <row r="211" spans="1:2" ht="16.5" x14ac:dyDescent="0.5">
      <c r="A211" s="15" t="s">
        <v>316</v>
      </c>
      <c r="B211" s="11">
        <v>553</v>
      </c>
    </row>
    <row r="212" spans="1:2" ht="16.5" x14ac:dyDescent="0.5">
      <c r="A212" s="15" t="s">
        <v>258</v>
      </c>
      <c r="B212" s="11">
        <v>537</v>
      </c>
    </row>
    <row r="213" spans="1:2" ht="16.5" x14ac:dyDescent="0.5">
      <c r="A213" s="15" t="s">
        <v>154</v>
      </c>
      <c r="B213" s="11">
        <v>504</v>
      </c>
    </row>
    <row r="214" spans="1:2" ht="16.5" x14ac:dyDescent="0.5">
      <c r="A214" s="15" t="s">
        <v>284</v>
      </c>
      <c r="B214" s="11">
        <v>486</v>
      </c>
    </row>
    <row r="215" spans="1:2" ht="16.5" x14ac:dyDescent="0.5">
      <c r="A215" s="15" t="s">
        <v>404</v>
      </c>
      <c r="B215" s="11">
        <v>476</v>
      </c>
    </row>
    <row r="216" spans="1:2" ht="16.5" x14ac:dyDescent="0.5">
      <c r="A216" s="15" t="s">
        <v>421</v>
      </c>
      <c r="B216" s="11">
        <v>450</v>
      </c>
    </row>
    <row r="217" spans="1:2" ht="16.5" x14ac:dyDescent="0.5">
      <c r="A217" s="15" t="s">
        <v>163</v>
      </c>
      <c r="B217" s="11">
        <v>384</v>
      </c>
    </row>
    <row r="218" spans="1:2" ht="16.5" x14ac:dyDescent="0.5">
      <c r="A218" s="15" t="s">
        <v>102</v>
      </c>
      <c r="B218" s="11">
        <v>382</v>
      </c>
    </row>
    <row r="219" spans="1:2" ht="16.5" x14ac:dyDescent="0.5">
      <c r="A219" s="15" t="s">
        <v>60</v>
      </c>
      <c r="B219" s="11">
        <v>360</v>
      </c>
    </row>
    <row r="220" spans="1:2" ht="16.5" x14ac:dyDescent="0.5">
      <c r="A220" s="15" t="s">
        <v>120</v>
      </c>
      <c r="B220" s="11">
        <v>360</v>
      </c>
    </row>
    <row r="221" spans="1:2" ht="16.5" x14ac:dyDescent="0.5">
      <c r="A221" s="15" t="s">
        <v>320</v>
      </c>
      <c r="B221" s="11">
        <v>320</v>
      </c>
    </row>
    <row r="222" spans="1:2" ht="16.5" x14ac:dyDescent="0.5">
      <c r="A222" s="15" t="s">
        <v>431</v>
      </c>
      <c r="B222" s="11">
        <v>260</v>
      </c>
    </row>
    <row r="223" spans="1:2" ht="16.5" x14ac:dyDescent="0.5">
      <c r="A223" s="15" t="s">
        <v>274</v>
      </c>
      <c r="B223" s="11">
        <v>200</v>
      </c>
    </row>
    <row r="224" spans="1:2" ht="16.5" x14ac:dyDescent="0.5">
      <c r="A224" s="15" t="s">
        <v>395</v>
      </c>
      <c r="B224" s="11">
        <v>80</v>
      </c>
    </row>
    <row r="225" spans="1:2" ht="16.5" x14ac:dyDescent="0.5">
      <c r="A225" s="15" t="s">
        <v>446</v>
      </c>
      <c r="B225" s="11">
        <v>197615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3C62-A0D2-47D8-9722-1E355E0E4805}">
  <dimension ref="A3:H146"/>
  <sheetViews>
    <sheetView topLeftCell="G28" workbookViewId="0">
      <selection activeCell="O45" sqref="O45"/>
    </sheetView>
  </sheetViews>
  <sheetFormatPr defaultRowHeight="16.5" x14ac:dyDescent="0.5"/>
  <cols>
    <col min="1" max="1" width="85.81640625" customWidth="1"/>
    <col min="2" max="2" width="11.6328125" customWidth="1"/>
    <col min="3" max="3" width="15.81640625" customWidth="1"/>
    <col min="4" max="6" width="4.81640625" customWidth="1"/>
    <col min="7" max="7" width="85.81640625" customWidth="1"/>
    <col min="8" max="8" width="11.90625" customWidth="1"/>
    <col min="9" max="9" width="4.81640625" customWidth="1"/>
    <col min="10" max="10" width="15.81640625" bestFit="1" customWidth="1"/>
    <col min="11" max="12" width="3.81640625" bestFit="1" customWidth="1"/>
    <col min="13" max="14" width="4.81640625" bestFit="1" customWidth="1"/>
    <col min="15" max="15" width="12.453125" bestFit="1" customWidth="1"/>
    <col min="16" max="16" width="13.08984375" bestFit="1" customWidth="1"/>
    <col min="17" max="24" width="4.81640625" bestFit="1" customWidth="1"/>
    <col min="25" max="25" width="10.36328125" bestFit="1" customWidth="1"/>
  </cols>
  <sheetData>
    <row r="3" spans="1:2" x14ac:dyDescent="0.5">
      <c r="A3" s="18" t="s">
        <v>468</v>
      </c>
    </row>
    <row r="4" spans="1:2" x14ac:dyDescent="0.5">
      <c r="A4" s="14" t="s">
        <v>435</v>
      </c>
      <c r="B4" t="s">
        <v>457</v>
      </c>
    </row>
    <row r="5" spans="1:2" x14ac:dyDescent="0.5">
      <c r="A5" s="17" t="s">
        <v>461</v>
      </c>
      <c r="B5" s="11">
        <v>1.25</v>
      </c>
    </row>
    <row r="6" spans="1:2" x14ac:dyDescent="0.5">
      <c r="A6" s="17" t="s">
        <v>462</v>
      </c>
      <c r="B6" s="11">
        <v>5</v>
      </c>
    </row>
    <row r="7" spans="1:2" x14ac:dyDescent="0.5">
      <c r="A7" s="17" t="s">
        <v>463</v>
      </c>
      <c r="B7" s="11">
        <v>14.76923076923077</v>
      </c>
    </row>
    <row r="8" spans="1:2" x14ac:dyDescent="0.5">
      <c r="A8" s="17" t="s">
        <v>464</v>
      </c>
      <c r="B8" s="11">
        <v>8.5294117647058822</v>
      </c>
    </row>
    <row r="9" spans="1:2" x14ac:dyDescent="0.5">
      <c r="A9" s="17" t="s">
        <v>465</v>
      </c>
      <c r="B9" s="11">
        <v>5.375</v>
      </c>
    </row>
    <row r="10" spans="1:2" x14ac:dyDescent="0.5">
      <c r="A10" s="17" t="s">
        <v>466</v>
      </c>
      <c r="B10" s="11">
        <v>8.4444444444444446</v>
      </c>
    </row>
    <row r="11" spans="1:2" x14ac:dyDescent="0.5">
      <c r="A11" s="17" t="s">
        <v>467</v>
      </c>
      <c r="B11" s="11">
        <v>0</v>
      </c>
    </row>
    <row r="12" spans="1:2" x14ac:dyDescent="0.5">
      <c r="A12" s="15" t="s">
        <v>446</v>
      </c>
      <c r="B12" s="11">
        <v>6.6759259259259256</v>
      </c>
    </row>
    <row r="14" spans="1:2" x14ac:dyDescent="0.5">
      <c r="A14" s="18" t="s">
        <v>458</v>
      </c>
    </row>
    <row r="15" spans="1:2" x14ac:dyDescent="0.5">
      <c r="A15" s="14" t="s">
        <v>478</v>
      </c>
      <c r="B15" t="s">
        <v>456</v>
      </c>
    </row>
    <row r="16" spans="1:2" x14ac:dyDescent="0.5">
      <c r="A16" s="19" t="s">
        <v>469</v>
      </c>
      <c r="B16" s="11">
        <v>0</v>
      </c>
    </row>
    <row r="17" spans="1:2" x14ac:dyDescent="0.5">
      <c r="A17" s="19" t="s">
        <v>470</v>
      </c>
      <c r="B17" s="11">
        <v>169</v>
      </c>
    </row>
    <row r="18" spans="1:2" x14ac:dyDescent="0.5">
      <c r="A18" s="19" t="s">
        <v>471</v>
      </c>
      <c r="B18" s="11">
        <v>69</v>
      </c>
    </row>
    <row r="19" spans="1:2" x14ac:dyDescent="0.5">
      <c r="A19" s="19" t="s">
        <v>472</v>
      </c>
      <c r="B19" s="11">
        <v>483</v>
      </c>
    </row>
    <row r="20" spans="1:2" x14ac:dyDescent="0.5">
      <c r="A20" s="19" t="s">
        <v>446</v>
      </c>
      <c r="B20" s="11">
        <v>721</v>
      </c>
    </row>
    <row r="22" spans="1:2" x14ac:dyDescent="0.5">
      <c r="A22" s="18" t="s">
        <v>460</v>
      </c>
    </row>
    <row r="23" spans="1:2" x14ac:dyDescent="0.5">
      <c r="A23" s="13"/>
    </row>
    <row r="34" spans="1:8" x14ac:dyDescent="0.5">
      <c r="A34" s="22"/>
    </row>
    <row r="35" spans="1:8" x14ac:dyDescent="0.5">
      <c r="G35" t="s">
        <v>481</v>
      </c>
    </row>
    <row r="36" spans="1:8" x14ac:dyDescent="0.5">
      <c r="A36" s="18" t="s">
        <v>479</v>
      </c>
      <c r="G36" s="14" t="s">
        <v>478</v>
      </c>
      <c r="H36" t="s">
        <v>473</v>
      </c>
    </row>
    <row r="37" spans="1:8" x14ac:dyDescent="0.5">
      <c r="A37" s="14" t="s">
        <v>440</v>
      </c>
      <c r="B37" t="s">
        <v>480</v>
      </c>
      <c r="G37" s="15" t="s">
        <v>56</v>
      </c>
      <c r="H37" s="13">
        <v>5</v>
      </c>
    </row>
    <row r="38" spans="1:8" x14ac:dyDescent="0.5">
      <c r="A38" s="15" t="s">
        <v>168</v>
      </c>
      <c r="B38" s="13">
        <v>0</v>
      </c>
      <c r="G38" s="15" t="s">
        <v>392</v>
      </c>
      <c r="H38" s="13">
        <v>5</v>
      </c>
    </row>
    <row r="39" spans="1:8" x14ac:dyDescent="0.5">
      <c r="A39" s="15" t="s">
        <v>424</v>
      </c>
      <c r="B39" s="13">
        <v>0</v>
      </c>
      <c r="G39" s="15" t="s">
        <v>428</v>
      </c>
      <c r="H39" s="13">
        <v>5</v>
      </c>
    </row>
    <row r="40" spans="1:8" x14ac:dyDescent="0.5">
      <c r="A40" s="15" t="s">
        <v>433</v>
      </c>
      <c r="B40" s="13">
        <v>0</v>
      </c>
      <c r="G40" s="15" t="s">
        <v>245</v>
      </c>
      <c r="H40" s="13">
        <v>5</v>
      </c>
    </row>
    <row r="41" spans="1:8" x14ac:dyDescent="0.5">
      <c r="A41" s="15" t="s">
        <v>430</v>
      </c>
      <c r="B41" s="13">
        <v>0</v>
      </c>
      <c r="G41" s="15" t="s">
        <v>60</v>
      </c>
      <c r="H41" s="13">
        <v>5</v>
      </c>
    </row>
    <row r="42" spans="1:8" x14ac:dyDescent="0.5">
      <c r="A42" s="15" t="s">
        <v>287</v>
      </c>
      <c r="B42" s="13">
        <v>0</v>
      </c>
      <c r="G42" s="15" t="s">
        <v>120</v>
      </c>
      <c r="H42" s="13">
        <v>5</v>
      </c>
    </row>
    <row r="43" spans="1:8" x14ac:dyDescent="0.5">
      <c r="A43" s="15" t="s">
        <v>419</v>
      </c>
      <c r="B43" s="13">
        <v>0</v>
      </c>
      <c r="G43" s="15" t="s">
        <v>401</v>
      </c>
      <c r="H43" s="13">
        <v>5</v>
      </c>
    </row>
    <row r="44" spans="1:8" x14ac:dyDescent="0.5">
      <c r="A44" s="15" t="s">
        <v>404</v>
      </c>
      <c r="B44" s="13">
        <v>0</v>
      </c>
      <c r="G44" s="15" t="s">
        <v>446</v>
      </c>
      <c r="H44" s="13">
        <v>5</v>
      </c>
    </row>
    <row r="45" spans="1:8" x14ac:dyDescent="0.5">
      <c r="A45" s="15" t="s">
        <v>284</v>
      </c>
      <c r="B45" s="13">
        <v>0</v>
      </c>
    </row>
    <row r="46" spans="1:8" x14ac:dyDescent="0.5">
      <c r="A46" s="15" t="s">
        <v>266</v>
      </c>
      <c r="B46" s="13">
        <v>0</v>
      </c>
    </row>
    <row r="47" spans="1:8" x14ac:dyDescent="0.5">
      <c r="A47" s="15" t="s">
        <v>396</v>
      </c>
      <c r="B47" s="13">
        <v>0</v>
      </c>
    </row>
    <row r="48" spans="1:8" x14ac:dyDescent="0.5">
      <c r="A48" s="15" t="s">
        <v>399</v>
      </c>
      <c r="B48" s="13">
        <v>0</v>
      </c>
    </row>
    <row r="49" spans="1:2" x14ac:dyDescent="0.5">
      <c r="A49" s="15" t="s">
        <v>277</v>
      </c>
      <c r="B49" s="13">
        <v>0</v>
      </c>
    </row>
    <row r="50" spans="1:2" x14ac:dyDescent="0.5">
      <c r="A50" s="15" t="s">
        <v>407</v>
      </c>
      <c r="B50" s="13">
        <v>0</v>
      </c>
    </row>
    <row r="51" spans="1:2" x14ac:dyDescent="0.5">
      <c r="A51" s="15" t="s">
        <v>427</v>
      </c>
      <c r="B51" s="13">
        <v>0</v>
      </c>
    </row>
    <row r="52" spans="1:2" x14ac:dyDescent="0.5">
      <c r="A52" s="15" t="s">
        <v>256</v>
      </c>
      <c r="B52" s="13">
        <v>0</v>
      </c>
    </row>
    <row r="53" spans="1:2" x14ac:dyDescent="0.5">
      <c r="A53" s="15" t="s">
        <v>175</v>
      </c>
      <c r="B53" s="13">
        <v>0</v>
      </c>
    </row>
    <row r="54" spans="1:2" x14ac:dyDescent="0.5">
      <c r="A54" s="15" t="s">
        <v>425</v>
      </c>
      <c r="B54" s="13">
        <v>0</v>
      </c>
    </row>
    <row r="55" spans="1:2" x14ac:dyDescent="0.5">
      <c r="A55" s="15" t="s">
        <v>405</v>
      </c>
      <c r="B55" s="13">
        <v>0</v>
      </c>
    </row>
    <row r="56" spans="1:2" x14ac:dyDescent="0.5">
      <c r="A56" s="15" t="s">
        <v>160</v>
      </c>
      <c r="B56" s="13">
        <v>0</v>
      </c>
    </row>
    <row r="57" spans="1:2" x14ac:dyDescent="0.5">
      <c r="A57" s="15" t="s">
        <v>157</v>
      </c>
      <c r="B57" s="13">
        <v>0</v>
      </c>
    </row>
    <row r="58" spans="1:2" x14ac:dyDescent="0.5">
      <c r="A58" s="15" t="s">
        <v>282</v>
      </c>
      <c r="B58" s="13">
        <v>0</v>
      </c>
    </row>
    <row r="59" spans="1:2" x14ac:dyDescent="0.5">
      <c r="A59" s="15" t="s">
        <v>258</v>
      </c>
      <c r="B59" s="13">
        <v>0</v>
      </c>
    </row>
    <row r="60" spans="1:2" x14ac:dyDescent="0.5">
      <c r="A60" s="15" t="s">
        <v>272</v>
      </c>
      <c r="B60" s="13">
        <v>0</v>
      </c>
    </row>
    <row r="61" spans="1:2" x14ac:dyDescent="0.5">
      <c r="A61" s="15" t="s">
        <v>173</v>
      </c>
      <c r="B61" s="13">
        <v>0</v>
      </c>
    </row>
    <row r="62" spans="1:2" x14ac:dyDescent="0.5">
      <c r="A62" s="15" t="s">
        <v>274</v>
      </c>
      <c r="B62" s="13">
        <v>0</v>
      </c>
    </row>
    <row r="63" spans="1:2" x14ac:dyDescent="0.5">
      <c r="A63" s="15" t="s">
        <v>237</v>
      </c>
      <c r="B63" s="13">
        <v>0</v>
      </c>
    </row>
    <row r="64" spans="1:2" x14ac:dyDescent="0.5">
      <c r="A64" s="15" t="s">
        <v>140</v>
      </c>
      <c r="B64" s="13">
        <v>0</v>
      </c>
    </row>
    <row r="65" spans="1:2" x14ac:dyDescent="0.5">
      <c r="A65" s="15" t="s">
        <v>431</v>
      </c>
      <c r="B65" s="13">
        <v>0</v>
      </c>
    </row>
    <row r="66" spans="1:2" x14ac:dyDescent="0.5">
      <c r="A66" s="15" t="s">
        <v>312</v>
      </c>
      <c r="B66" s="13">
        <v>0</v>
      </c>
    </row>
    <row r="67" spans="1:2" x14ac:dyDescent="0.5">
      <c r="A67" s="15" t="s">
        <v>420</v>
      </c>
      <c r="B67" s="13">
        <v>0</v>
      </c>
    </row>
    <row r="68" spans="1:2" x14ac:dyDescent="0.5">
      <c r="A68" s="15" t="s">
        <v>170</v>
      </c>
      <c r="B68" s="13">
        <v>0</v>
      </c>
    </row>
    <row r="69" spans="1:2" x14ac:dyDescent="0.5">
      <c r="A69" s="15" t="s">
        <v>316</v>
      </c>
      <c r="B69" s="13">
        <v>0</v>
      </c>
    </row>
    <row r="70" spans="1:2" x14ac:dyDescent="0.5">
      <c r="A70" s="15" t="s">
        <v>314</v>
      </c>
      <c r="B70" s="13">
        <v>0</v>
      </c>
    </row>
    <row r="71" spans="1:2" x14ac:dyDescent="0.5">
      <c r="A71" s="15" t="s">
        <v>429</v>
      </c>
      <c r="B71" s="13">
        <v>0</v>
      </c>
    </row>
    <row r="72" spans="1:2" x14ac:dyDescent="0.5">
      <c r="A72" s="15" t="s">
        <v>269</v>
      </c>
      <c r="B72" s="13">
        <v>0</v>
      </c>
    </row>
    <row r="73" spans="1:2" x14ac:dyDescent="0.5">
      <c r="A73" s="15" t="s">
        <v>320</v>
      </c>
      <c r="B73" s="13">
        <v>0</v>
      </c>
    </row>
    <row r="74" spans="1:2" x14ac:dyDescent="0.5">
      <c r="A74" s="15" t="s">
        <v>280</v>
      </c>
      <c r="B74" s="13">
        <v>0</v>
      </c>
    </row>
    <row r="75" spans="1:2" x14ac:dyDescent="0.5">
      <c r="A75" s="15" t="s">
        <v>143</v>
      </c>
      <c r="B75" s="13">
        <v>0</v>
      </c>
    </row>
    <row r="76" spans="1:2" x14ac:dyDescent="0.5">
      <c r="A76" s="15" t="s">
        <v>154</v>
      </c>
      <c r="B76" s="13">
        <v>0</v>
      </c>
    </row>
    <row r="77" spans="1:2" x14ac:dyDescent="0.5">
      <c r="A77" s="15" t="s">
        <v>432</v>
      </c>
      <c r="B77" s="13">
        <v>0</v>
      </c>
    </row>
    <row r="78" spans="1:2" x14ac:dyDescent="0.5">
      <c r="A78" s="15" t="s">
        <v>426</v>
      </c>
      <c r="B78" s="13">
        <v>0</v>
      </c>
    </row>
    <row r="79" spans="1:2" x14ac:dyDescent="0.5">
      <c r="A79" s="15" t="s">
        <v>264</v>
      </c>
      <c r="B79" s="13">
        <v>0</v>
      </c>
    </row>
    <row r="80" spans="1:2" x14ac:dyDescent="0.5">
      <c r="A80" s="15" t="s">
        <v>421</v>
      </c>
      <c r="B80" s="13">
        <v>0</v>
      </c>
    </row>
    <row r="81" spans="1:2" x14ac:dyDescent="0.5">
      <c r="A81" s="15" t="s">
        <v>403</v>
      </c>
      <c r="B81" s="13">
        <v>0</v>
      </c>
    </row>
    <row r="82" spans="1:2" x14ac:dyDescent="0.5">
      <c r="A82" s="15" t="s">
        <v>148</v>
      </c>
      <c r="B82" s="13">
        <v>0</v>
      </c>
    </row>
    <row r="83" spans="1:2" x14ac:dyDescent="0.5">
      <c r="A83" s="15" t="s">
        <v>145</v>
      </c>
      <c r="B83" s="13">
        <v>0</v>
      </c>
    </row>
    <row r="84" spans="1:2" x14ac:dyDescent="0.5">
      <c r="A84" s="15" t="s">
        <v>131</v>
      </c>
      <c r="B84" s="13">
        <v>0</v>
      </c>
    </row>
    <row r="85" spans="1:2" x14ac:dyDescent="0.5">
      <c r="A85" s="15" t="s">
        <v>406</v>
      </c>
      <c r="B85" s="13">
        <v>0</v>
      </c>
    </row>
    <row r="86" spans="1:2" x14ac:dyDescent="0.5">
      <c r="A86" s="15" t="s">
        <v>423</v>
      </c>
      <c r="B86" s="13">
        <v>0</v>
      </c>
    </row>
    <row r="87" spans="1:2" x14ac:dyDescent="0.5">
      <c r="A87" s="15" t="s">
        <v>163</v>
      </c>
      <c r="B87" s="13">
        <v>0</v>
      </c>
    </row>
    <row r="88" spans="1:2" x14ac:dyDescent="0.5">
      <c r="A88" s="15" t="s">
        <v>289</v>
      </c>
      <c r="B88" s="13">
        <v>0</v>
      </c>
    </row>
    <row r="89" spans="1:2" x14ac:dyDescent="0.5">
      <c r="A89" s="15" t="s">
        <v>408</v>
      </c>
      <c r="B89" s="13">
        <v>0</v>
      </c>
    </row>
    <row r="90" spans="1:2" x14ac:dyDescent="0.5">
      <c r="A90" s="15" t="s">
        <v>434</v>
      </c>
      <c r="B90" s="13">
        <v>2</v>
      </c>
    </row>
    <row r="91" spans="1:2" x14ac:dyDescent="0.5">
      <c r="A91" s="15" t="s">
        <v>418</v>
      </c>
      <c r="B91" s="13">
        <v>2.1</v>
      </c>
    </row>
    <row r="92" spans="1:2" x14ac:dyDescent="0.5">
      <c r="A92" s="15" t="s">
        <v>411</v>
      </c>
      <c r="B92" s="13">
        <v>2.1</v>
      </c>
    </row>
    <row r="93" spans="1:2" x14ac:dyDescent="0.5">
      <c r="A93" s="15" t="s">
        <v>206</v>
      </c>
      <c r="B93" s="13">
        <v>2.2000000000000002</v>
      </c>
    </row>
    <row r="94" spans="1:2" x14ac:dyDescent="0.5">
      <c r="A94" s="15" t="s">
        <v>417</v>
      </c>
      <c r="B94" s="13">
        <v>2.2000000000000002</v>
      </c>
    </row>
    <row r="95" spans="1:2" x14ac:dyDescent="0.5">
      <c r="A95" s="15" t="s">
        <v>414</v>
      </c>
      <c r="B95" s="13">
        <v>2.2999999999999998</v>
      </c>
    </row>
    <row r="96" spans="1:2" x14ac:dyDescent="0.5">
      <c r="A96" s="15" t="s">
        <v>221</v>
      </c>
      <c r="B96" s="13">
        <v>2.2999999999999998</v>
      </c>
    </row>
    <row r="97" spans="1:2" x14ac:dyDescent="0.5">
      <c r="A97" s="15" t="s">
        <v>409</v>
      </c>
      <c r="B97" s="13">
        <v>2.5</v>
      </c>
    </row>
    <row r="98" spans="1:2" x14ac:dyDescent="0.5">
      <c r="A98" s="15" t="s">
        <v>215</v>
      </c>
      <c r="B98" s="13">
        <v>2.6</v>
      </c>
    </row>
    <row r="99" spans="1:2" x14ac:dyDescent="0.5">
      <c r="A99" s="15" t="s">
        <v>412</v>
      </c>
      <c r="B99" s="13">
        <v>2.7</v>
      </c>
    </row>
    <row r="100" spans="1:2" x14ac:dyDescent="0.5">
      <c r="A100" s="15" t="s">
        <v>194</v>
      </c>
      <c r="B100" s="13">
        <v>2.8</v>
      </c>
    </row>
    <row r="101" spans="1:2" x14ac:dyDescent="0.5">
      <c r="A101" s="15" t="s">
        <v>413</v>
      </c>
      <c r="B101" s="13">
        <v>2.9</v>
      </c>
    </row>
    <row r="102" spans="1:2" x14ac:dyDescent="0.5">
      <c r="A102" s="15" t="s">
        <v>422</v>
      </c>
      <c r="B102" s="13">
        <v>3</v>
      </c>
    </row>
    <row r="103" spans="1:2" x14ac:dyDescent="0.5">
      <c r="A103" s="15" t="s">
        <v>410</v>
      </c>
      <c r="B103" s="13">
        <v>3</v>
      </c>
    </row>
    <row r="104" spans="1:2" x14ac:dyDescent="0.5">
      <c r="A104" s="15" t="s">
        <v>224</v>
      </c>
      <c r="B104" s="13">
        <v>3</v>
      </c>
    </row>
    <row r="105" spans="1:2" x14ac:dyDescent="0.5">
      <c r="A105" s="15" t="s">
        <v>416</v>
      </c>
      <c r="B105" s="13">
        <v>3</v>
      </c>
    </row>
    <row r="106" spans="1:2" x14ac:dyDescent="0.5">
      <c r="A106" s="15" t="s">
        <v>415</v>
      </c>
      <c r="B106" s="13">
        <v>3</v>
      </c>
    </row>
    <row r="107" spans="1:2" x14ac:dyDescent="0.5">
      <c r="A107" s="15" t="s">
        <v>395</v>
      </c>
      <c r="B107" s="13">
        <v>3.3</v>
      </c>
    </row>
    <row r="108" spans="1:2" x14ac:dyDescent="0.5">
      <c r="A108" s="15" t="s">
        <v>38</v>
      </c>
      <c r="B108" s="13">
        <v>3.8</v>
      </c>
    </row>
    <row r="109" spans="1:2" x14ac:dyDescent="0.5">
      <c r="A109" s="15" t="s">
        <v>95</v>
      </c>
      <c r="B109" s="13">
        <v>3.8</v>
      </c>
    </row>
    <row r="110" spans="1:2" x14ac:dyDescent="0.5">
      <c r="A110" s="15" t="s">
        <v>92</v>
      </c>
      <c r="B110" s="13">
        <v>3.8</v>
      </c>
    </row>
    <row r="111" spans="1:2" x14ac:dyDescent="0.5">
      <c r="A111" s="15" t="s">
        <v>26</v>
      </c>
      <c r="B111" s="13">
        <v>4</v>
      </c>
    </row>
    <row r="112" spans="1:2" x14ac:dyDescent="0.5">
      <c r="A112" s="15" t="s">
        <v>33</v>
      </c>
      <c r="B112" s="13">
        <v>4</v>
      </c>
    </row>
    <row r="113" spans="1:2" x14ac:dyDescent="0.5">
      <c r="A113" s="15" t="s">
        <v>253</v>
      </c>
      <c r="B113" s="13">
        <v>4</v>
      </c>
    </row>
    <row r="114" spans="1:2" x14ac:dyDescent="0.5">
      <c r="A114" s="15" t="s">
        <v>397</v>
      </c>
      <c r="B114" s="13">
        <v>4</v>
      </c>
    </row>
    <row r="115" spans="1:2" x14ac:dyDescent="0.5">
      <c r="A115" s="15" t="s">
        <v>10</v>
      </c>
      <c r="B115" s="13">
        <v>4.0999999999999996</v>
      </c>
    </row>
    <row r="116" spans="1:2" x14ac:dyDescent="0.5">
      <c r="A116" s="15" t="s">
        <v>389</v>
      </c>
      <c r="B116" s="13">
        <v>4.0999999999999996</v>
      </c>
    </row>
    <row r="117" spans="1:2" x14ac:dyDescent="0.5">
      <c r="A117" s="15" t="s">
        <v>97</v>
      </c>
      <c r="B117" s="13">
        <v>4.0999999999999996</v>
      </c>
    </row>
    <row r="118" spans="1:2" x14ac:dyDescent="0.5">
      <c r="A118" s="15" t="s">
        <v>53</v>
      </c>
      <c r="B118" s="13">
        <v>4.2</v>
      </c>
    </row>
    <row r="119" spans="1:2" x14ac:dyDescent="0.5">
      <c r="A119" s="15" t="s">
        <v>400</v>
      </c>
      <c r="B119" s="13">
        <v>4.3</v>
      </c>
    </row>
    <row r="120" spans="1:2" x14ac:dyDescent="0.5">
      <c r="A120" s="15" t="s">
        <v>398</v>
      </c>
      <c r="B120" s="13">
        <v>4.3</v>
      </c>
    </row>
    <row r="121" spans="1:2" x14ac:dyDescent="0.5">
      <c r="A121" s="15" t="s">
        <v>402</v>
      </c>
      <c r="B121" s="13">
        <v>4.3</v>
      </c>
    </row>
    <row r="122" spans="1:2" x14ac:dyDescent="0.5">
      <c r="A122" s="15" t="s">
        <v>102</v>
      </c>
      <c r="B122" s="13">
        <v>4.3</v>
      </c>
    </row>
    <row r="123" spans="1:2" x14ac:dyDescent="0.5">
      <c r="A123" s="15" t="s">
        <v>81</v>
      </c>
      <c r="B123" s="13">
        <v>4.4000000000000004</v>
      </c>
    </row>
    <row r="124" spans="1:2" x14ac:dyDescent="0.5">
      <c r="A124" s="15" t="s">
        <v>114</v>
      </c>
      <c r="B124" s="13">
        <v>4.5</v>
      </c>
    </row>
    <row r="125" spans="1:2" x14ac:dyDescent="0.5">
      <c r="A125" s="15" t="s">
        <v>6</v>
      </c>
      <c r="B125" s="13">
        <v>4.5</v>
      </c>
    </row>
    <row r="126" spans="1:2" x14ac:dyDescent="0.5">
      <c r="A126" s="15" t="s">
        <v>391</v>
      </c>
      <c r="B126" s="13">
        <v>4.5</v>
      </c>
    </row>
    <row r="127" spans="1:2" x14ac:dyDescent="0.5">
      <c r="A127" s="15" t="s">
        <v>394</v>
      </c>
      <c r="B127" s="13">
        <v>4.5999999999999996</v>
      </c>
    </row>
    <row r="128" spans="1:2" x14ac:dyDescent="0.5">
      <c r="A128" s="15" t="s">
        <v>89</v>
      </c>
      <c r="B128" s="13">
        <v>4.5999999999999996</v>
      </c>
    </row>
    <row r="129" spans="1:2" x14ac:dyDescent="0.5">
      <c r="A129" s="15" t="s">
        <v>14</v>
      </c>
      <c r="B129" s="13">
        <v>4.5999999999999996</v>
      </c>
    </row>
    <row r="130" spans="1:2" x14ac:dyDescent="0.5">
      <c r="A130" s="15" t="s">
        <v>393</v>
      </c>
      <c r="B130" s="13">
        <v>4.5999999999999996</v>
      </c>
    </row>
    <row r="131" spans="1:2" x14ac:dyDescent="0.5">
      <c r="A131" s="15" t="s">
        <v>30</v>
      </c>
      <c r="B131" s="13">
        <v>4.5999999999999996</v>
      </c>
    </row>
    <row r="132" spans="1:2" x14ac:dyDescent="0.5">
      <c r="A132" s="15" t="s">
        <v>111</v>
      </c>
      <c r="B132" s="13">
        <v>4.7</v>
      </c>
    </row>
    <row r="133" spans="1:2" x14ac:dyDescent="0.5">
      <c r="A133" s="15" t="s">
        <v>44</v>
      </c>
      <c r="B133" s="13">
        <v>4.7</v>
      </c>
    </row>
    <row r="134" spans="1:2" x14ac:dyDescent="0.5">
      <c r="A134" s="15" t="s">
        <v>105</v>
      </c>
      <c r="B134" s="13">
        <v>4.7</v>
      </c>
    </row>
    <row r="135" spans="1:2" x14ac:dyDescent="0.5">
      <c r="A135" s="15" t="s">
        <v>387</v>
      </c>
      <c r="B135" s="13">
        <v>4.7</v>
      </c>
    </row>
    <row r="136" spans="1:2" x14ac:dyDescent="0.5">
      <c r="A136" s="15" t="s">
        <v>390</v>
      </c>
      <c r="B136" s="13">
        <v>4.8</v>
      </c>
    </row>
    <row r="137" spans="1:2" x14ac:dyDescent="0.5">
      <c r="A137" s="15" t="s">
        <v>22</v>
      </c>
      <c r="B137" s="13">
        <v>4.8</v>
      </c>
    </row>
    <row r="138" spans="1:2" x14ac:dyDescent="0.5">
      <c r="A138" s="15" t="s">
        <v>388</v>
      </c>
      <c r="B138" s="13">
        <v>4.8</v>
      </c>
    </row>
    <row r="139" spans="1:2" x14ac:dyDescent="0.5">
      <c r="A139" s="15" t="s">
        <v>60</v>
      </c>
      <c r="B139" s="13">
        <v>5</v>
      </c>
    </row>
    <row r="140" spans="1:2" x14ac:dyDescent="0.5">
      <c r="A140" s="15" t="s">
        <v>428</v>
      </c>
      <c r="B140" s="13">
        <v>5</v>
      </c>
    </row>
    <row r="141" spans="1:2" x14ac:dyDescent="0.5">
      <c r="A141" s="15" t="s">
        <v>56</v>
      </c>
      <c r="B141" s="13">
        <v>5</v>
      </c>
    </row>
    <row r="142" spans="1:2" x14ac:dyDescent="0.5">
      <c r="A142" s="15" t="s">
        <v>120</v>
      </c>
      <c r="B142" s="13">
        <v>5</v>
      </c>
    </row>
    <row r="143" spans="1:2" x14ac:dyDescent="0.5">
      <c r="A143" s="15" t="s">
        <v>401</v>
      </c>
      <c r="B143" s="13">
        <v>5</v>
      </c>
    </row>
    <row r="144" spans="1:2" x14ac:dyDescent="0.5">
      <c r="A144" s="15" t="s">
        <v>245</v>
      </c>
      <c r="B144" s="13">
        <v>5</v>
      </c>
    </row>
    <row r="145" spans="1:2" x14ac:dyDescent="0.5">
      <c r="A145" s="15" t="s">
        <v>392</v>
      </c>
      <c r="B145" s="13">
        <v>5</v>
      </c>
    </row>
    <row r="146" spans="1:2" x14ac:dyDescent="0.5">
      <c r="A146" s="15" t="s">
        <v>446</v>
      </c>
      <c r="B146" s="13">
        <v>0</v>
      </c>
    </row>
  </sheetData>
  <conditionalFormatting sqref="B23">
    <cfRule type="top10" dxfId="14" priority="3" bottom="1" rank="5"/>
    <cfRule type="top10" dxfId="13" priority="4" rank="5"/>
  </conditionalFormatting>
  <conditionalFormatting sqref="B37">
    <cfRule type="top10" dxfId="12" priority="1" bottom="1" rank="5"/>
    <cfRule type="top10" dxfId="11" priority="2" rank="5"/>
  </conditionalFormatting>
  <pageMargins left="0.7" right="0.7" top="0.75" bottom="0.75" header="0.3" footer="0.3"/>
  <pageSetup orientation="portrait"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4084-2604-4227-BA12-091253C0FD0D}">
  <dimension ref="A1:F118"/>
  <sheetViews>
    <sheetView workbookViewId="0">
      <selection activeCell="A25" sqref="A3:A61"/>
    </sheetView>
  </sheetViews>
  <sheetFormatPr defaultRowHeight="16.5" x14ac:dyDescent="0.5"/>
  <cols>
    <col min="1" max="1" width="85.81640625" customWidth="1"/>
    <col min="2" max="2" width="14.26953125" customWidth="1"/>
    <col min="3" max="3" width="15.81640625" customWidth="1"/>
    <col min="5" max="5" width="85.81640625" customWidth="1"/>
    <col min="6" max="6" width="12.54296875" customWidth="1"/>
  </cols>
  <sheetData>
    <row r="1" spans="1:6" x14ac:dyDescent="0.5">
      <c r="A1" s="18" t="s">
        <v>459</v>
      </c>
      <c r="E1" s="6" t="s">
        <v>361</v>
      </c>
    </row>
    <row r="2" spans="1:6" x14ac:dyDescent="0.5">
      <c r="A2" s="14" t="s">
        <v>455</v>
      </c>
      <c r="B2" t="s">
        <v>474</v>
      </c>
      <c r="E2" s="14" t="s">
        <v>455</v>
      </c>
      <c r="F2" t="s">
        <v>475</v>
      </c>
    </row>
    <row r="3" spans="1:6" x14ac:dyDescent="0.5">
      <c r="A3" s="15" t="s">
        <v>411</v>
      </c>
      <c r="B3" s="22">
        <v>2585</v>
      </c>
      <c r="E3" s="15" t="s">
        <v>194</v>
      </c>
      <c r="F3" s="11">
        <v>69</v>
      </c>
    </row>
    <row r="4" spans="1:6" x14ac:dyDescent="0.5">
      <c r="A4" s="15" t="s">
        <v>398</v>
      </c>
      <c r="B4" s="22">
        <v>2452</v>
      </c>
      <c r="E4" s="15" t="s">
        <v>30</v>
      </c>
      <c r="F4" s="11">
        <v>55</v>
      </c>
    </row>
    <row r="5" spans="1:6" x14ac:dyDescent="0.5">
      <c r="A5" s="15" t="s">
        <v>415</v>
      </c>
      <c r="B5" s="22">
        <v>2393</v>
      </c>
      <c r="E5" s="15" t="s">
        <v>89</v>
      </c>
      <c r="F5" s="11">
        <v>49</v>
      </c>
    </row>
    <row r="6" spans="1:6" x14ac:dyDescent="0.5">
      <c r="A6" s="15" t="s">
        <v>392</v>
      </c>
      <c r="B6" s="22">
        <v>1946</v>
      </c>
      <c r="E6" s="15" t="s">
        <v>394</v>
      </c>
      <c r="F6" s="11">
        <v>44</v>
      </c>
    </row>
    <row r="7" spans="1:6" x14ac:dyDescent="0.5">
      <c r="A7" s="15" t="s">
        <v>399</v>
      </c>
      <c r="B7" s="22">
        <v>1880</v>
      </c>
      <c r="E7" s="15" t="s">
        <v>44</v>
      </c>
      <c r="F7" s="11">
        <v>39</v>
      </c>
    </row>
    <row r="8" spans="1:6" x14ac:dyDescent="0.5">
      <c r="A8" s="15" t="s">
        <v>403</v>
      </c>
      <c r="B8" s="22">
        <v>1721</v>
      </c>
      <c r="E8" s="15" t="s">
        <v>402</v>
      </c>
      <c r="F8" s="11">
        <v>36</v>
      </c>
    </row>
    <row r="9" spans="1:6" x14ac:dyDescent="0.5">
      <c r="A9" s="15" t="s">
        <v>400</v>
      </c>
      <c r="B9" s="22">
        <v>1670</v>
      </c>
      <c r="E9" s="15" t="s">
        <v>114</v>
      </c>
      <c r="F9" s="11">
        <v>32</v>
      </c>
    </row>
    <row r="10" spans="1:6" x14ac:dyDescent="0.5">
      <c r="A10" s="15" t="s">
        <v>388</v>
      </c>
      <c r="B10" s="22">
        <v>1526</v>
      </c>
      <c r="E10" s="15" t="s">
        <v>14</v>
      </c>
      <c r="F10" s="11">
        <v>24</v>
      </c>
    </row>
    <row r="11" spans="1:6" x14ac:dyDescent="0.5">
      <c r="A11" s="15" t="s">
        <v>418</v>
      </c>
      <c r="B11" s="22">
        <v>1418</v>
      </c>
      <c r="E11" s="15" t="s">
        <v>111</v>
      </c>
      <c r="F11" s="11">
        <v>20</v>
      </c>
    </row>
    <row r="12" spans="1:6" x14ac:dyDescent="0.5">
      <c r="A12" s="15" t="s">
        <v>396</v>
      </c>
      <c r="B12" s="22">
        <v>1360</v>
      </c>
      <c r="E12" s="15" t="s">
        <v>97</v>
      </c>
      <c r="F12" s="11">
        <v>20</v>
      </c>
    </row>
    <row r="13" spans="1:6" x14ac:dyDescent="0.5">
      <c r="A13" s="15" t="s">
        <v>38</v>
      </c>
      <c r="B13" s="22">
        <v>1329</v>
      </c>
      <c r="E13" s="15" t="s">
        <v>215</v>
      </c>
      <c r="F13" s="11">
        <v>17</v>
      </c>
    </row>
    <row r="14" spans="1:6" x14ac:dyDescent="0.5">
      <c r="A14" s="15" t="s">
        <v>426</v>
      </c>
      <c r="B14" s="22">
        <v>1200</v>
      </c>
      <c r="E14" s="15" t="s">
        <v>413</v>
      </c>
      <c r="F14" s="11">
        <v>16</v>
      </c>
    </row>
    <row r="15" spans="1:6" x14ac:dyDescent="0.5">
      <c r="A15" s="15" t="s">
        <v>272</v>
      </c>
      <c r="B15" s="22">
        <v>1200</v>
      </c>
      <c r="E15" s="15" t="s">
        <v>412</v>
      </c>
      <c r="F15" s="11">
        <v>15</v>
      </c>
    </row>
    <row r="16" spans="1:6" x14ac:dyDescent="0.5">
      <c r="A16" s="15" t="s">
        <v>401</v>
      </c>
      <c r="B16" s="22">
        <v>1070</v>
      </c>
      <c r="E16" s="15" t="s">
        <v>26</v>
      </c>
      <c r="F16" s="11">
        <v>15</v>
      </c>
    </row>
    <row r="17" spans="1:6" x14ac:dyDescent="0.5">
      <c r="A17" s="15" t="s">
        <v>408</v>
      </c>
      <c r="B17" s="22">
        <v>1011</v>
      </c>
      <c r="E17" s="15" t="s">
        <v>81</v>
      </c>
      <c r="F17" s="11">
        <v>14</v>
      </c>
    </row>
    <row r="18" spans="1:6" x14ac:dyDescent="0.5">
      <c r="A18" s="15" t="s">
        <v>422</v>
      </c>
      <c r="B18" s="22">
        <v>1010</v>
      </c>
      <c r="E18" s="15" t="s">
        <v>10</v>
      </c>
      <c r="F18" s="11">
        <v>14</v>
      </c>
    </row>
    <row r="19" spans="1:6" x14ac:dyDescent="0.5">
      <c r="A19" s="15" t="s">
        <v>143</v>
      </c>
      <c r="B19" s="22">
        <v>1001</v>
      </c>
      <c r="E19" s="15" t="s">
        <v>395</v>
      </c>
      <c r="F19" s="11">
        <v>13</v>
      </c>
    </row>
    <row r="20" spans="1:6" x14ac:dyDescent="0.5">
      <c r="A20" s="15" t="s">
        <v>429</v>
      </c>
      <c r="B20" s="22">
        <v>1000</v>
      </c>
      <c r="E20" s="15" t="s">
        <v>95</v>
      </c>
      <c r="F20" s="11">
        <v>13</v>
      </c>
    </row>
    <row r="21" spans="1:6" x14ac:dyDescent="0.5">
      <c r="A21" s="15" t="s">
        <v>414</v>
      </c>
      <c r="B21" s="22">
        <v>1000</v>
      </c>
      <c r="E21" s="15" t="s">
        <v>411</v>
      </c>
      <c r="F21" s="11">
        <v>13</v>
      </c>
    </row>
    <row r="22" spans="1:6" x14ac:dyDescent="0.5">
      <c r="A22" s="15" t="s">
        <v>394</v>
      </c>
      <c r="B22" s="22">
        <v>968</v>
      </c>
      <c r="E22" s="15" t="s">
        <v>389</v>
      </c>
      <c r="F22" s="11">
        <v>12</v>
      </c>
    </row>
    <row r="23" spans="1:6" x14ac:dyDescent="0.5">
      <c r="A23" s="15" t="s">
        <v>428</v>
      </c>
      <c r="B23" s="22">
        <v>948</v>
      </c>
      <c r="E23" s="15" t="s">
        <v>92</v>
      </c>
      <c r="F23" s="11">
        <v>12</v>
      </c>
    </row>
    <row r="24" spans="1:6" x14ac:dyDescent="0.5">
      <c r="A24" s="15" t="s">
        <v>245</v>
      </c>
      <c r="B24" s="22">
        <v>941</v>
      </c>
      <c r="E24" s="15" t="s">
        <v>390</v>
      </c>
      <c r="F24" s="11">
        <v>12</v>
      </c>
    </row>
    <row r="25" spans="1:6" x14ac:dyDescent="0.5">
      <c r="A25" s="15" t="s">
        <v>416</v>
      </c>
      <c r="B25" s="22">
        <v>940</v>
      </c>
      <c r="E25" s="15" t="s">
        <v>105</v>
      </c>
      <c r="F25" s="11">
        <v>12</v>
      </c>
    </row>
    <row r="26" spans="1:6" x14ac:dyDescent="0.5">
      <c r="A26" s="15" t="s">
        <v>387</v>
      </c>
      <c r="B26" s="22">
        <v>919</v>
      </c>
      <c r="E26" s="15" t="s">
        <v>410</v>
      </c>
      <c r="F26" s="11">
        <v>10</v>
      </c>
    </row>
    <row r="27" spans="1:6" x14ac:dyDescent="0.5">
      <c r="A27" s="15" t="s">
        <v>269</v>
      </c>
      <c r="B27" s="22">
        <v>850</v>
      </c>
      <c r="E27" s="15" t="s">
        <v>53</v>
      </c>
      <c r="F27" s="11">
        <v>9</v>
      </c>
    </row>
    <row r="28" spans="1:6" x14ac:dyDescent="0.5">
      <c r="A28" s="15" t="s">
        <v>417</v>
      </c>
      <c r="B28" s="22">
        <v>846</v>
      </c>
      <c r="E28" s="15" t="s">
        <v>400</v>
      </c>
      <c r="F28" s="11">
        <v>9</v>
      </c>
    </row>
    <row r="29" spans="1:6" x14ac:dyDescent="0.5">
      <c r="A29" s="15" t="s">
        <v>423</v>
      </c>
      <c r="B29" s="22">
        <v>830</v>
      </c>
      <c r="E29" s="15" t="s">
        <v>102</v>
      </c>
      <c r="F29" s="11">
        <v>9</v>
      </c>
    </row>
    <row r="30" spans="1:6" x14ac:dyDescent="0.5">
      <c r="A30" s="15" t="s">
        <v>206</v>
      </c>
      <c r="B30" s="22">
        <v>824</v>
      </c>
      <c r="E30" s="15" t="s">
        <v>398</v>
      </c>
      <c r="F30" s="11">
        <v>7</v>
      </c>
    </row>
    <row r="31" spans="1:6" x14ac:dyDescent="0.5">
      <c r="A31" s="15" t="s">
        <v>53</v>
      </c>
      <c r="B31" s="22">
        <v>819</v>
      </c>
      <c r="E31" s="15" t="s">
        <v>418</v>
      </c>
      <c r="F31" s="11">
        <v>7</v>
      </c>
    </row>
    <row r="32" spans="1:6" x14ac:dyDescent="0.5">
      <c r="A32" s="15" t="s">
        <v>277</v>
      </c>
      <c r="B32" s="22">
        <v>800</v>
      </c>
      <c r="E32" s="15" t="s">
        <v>387</v>
      </c>
      <c r="F32" s="11">
        <v>7</v>
      </c>
    </row>
    <row r="33" spans="1:6" x14ac:dyDescent="0.5">
      <c r="A33" s="15" t="s">
        <v>427</v>
      </c>
      <c r="B33" s="22">
        <v>794</v>
      </c>
      <c r="E33" s="15" t="s">
        <v>414</v>
      </c>
      <c r="F33" s="11">
        <v>7</v>
      </c>
    </row>
    <row r="34" spans="1:6" x14ac:dyDescent="0.5">
      <c r="A34" s="15" t="s">
        <v>175</v>
      </c>
      <c r="B34" s="22">
        <v>768</v>
      </c>
      <c r="E34" s="15" t="s">
        <v>206</v>
      </c>
      <c r="F34" s="11">
        <v>6</v>
      </c>
    </row>
    <row r="35" spans="1:6" x14ac:dyDescent="0.5">
      <c r="A35" s="15" t="s">
        <v>406</v>
      </c>
      <c r="B35" s="22">
        <v>750</v>
      </c>
      <c r="E35" s="15" t="s">
        <v>391</v>
      </c>
      <c r="F35" s="11">
        <v>6</v>
      </c>
    </row>
    <row r="36" spans="1:6" x14ac:dyDescent="0.5">
      <c r="A36" s="15" t="s">
        <v>97</v>
      </c>
      <c r="B36" s="22">
        <v>741</v>
      </c>
      <c r="E36" s="15" t="s">
        <v>397</v>
      </c>
      <c r="F36" s="11">
        <v>6</v>
      </c>
    </row>
    <row r="37" spans="1:6" x14ac:dyDescent="0.5">
      <c r="A37" s="15" t="s">
        <v>14</v>
      </c>
      <c r="B37" s="22">
        <v>724</v>
      </c>
      <c r="E37" s="15" t="s">
        <v>417</v>
      </c>
      <c r="F37" s="11">
        <v>6</v>
      </c>
    </row>
    <row r="38" spans="1:6" x14ac:dyDescent="0.5">
      <c r="A38" s="15" t="s">
        <v>114</v>
      </c>
      <c r="B38" s="22">
        <v>719</v>
      </c>
      <c r="E38" s="15" t="s">
        <v>409</v>
      </c>
      <c r="F38" s="11">
        <v>6</v>
      </c>
    </row>
    <row r="39" spans="1:6" x14ac:dyDescent="0.5">
      <c r="A39" s="15" t="s">
        <v>30</v>
      </c>
      <c r="B39" s="22">
        <v>713</v>
      </c>
      <c r="E39" s="15" t="s">
        <v>221</v>
      </c>
      <c r="F39" s="11">
        <v>6</v>
      </c>
    </row>
    <row r="40" spans="1:6" x14ac:dyDescent="0.5">
      <c r="A40" s="15" t="s">
        <v>111</v>
      </c>
      <c r="B40" s="22">
        <v>710</v>
      </c>
      <c r="E40" s="15" t="s">
        <v>416</v>
      </c>
      <c r="F40" s="11">
        <v>5</v>
      </c>
    </row>
    <row r="41" spans="1:6" x14ac:dyDescent="0.5">
      <c r="A41" s="15" t="s">
        <v>393</v>
      </c>
      <c r="B41" s="22">
        <v>700</v>
      </c>
      <c r="E41" s="15" t="s">
        <v>388</v>
      </c>
      <c r="F41" s="11">
        <v>5</v>
      </c>
    </row>
    <row r="42" spans="1:6" x14ac:dyDescent="0.5">
      <c r="A42" s="15" t="s">
        <v>419</v>
      </c>
      <c r="B42" s="22">
        <v>695</v>
      </c>
      <c r="E42" s="15" t="s">
        <v>393</v>
      </c>
      <c r="F42" s="11">
        <v>5</v>
      </c>
    </row>
    <row r="43" spans="1:6" x14ac:dyDescent="0.5">
      <c r="A43" s="15" t="s">
        <v>148</v>
      </c>
      <c r="B43" s="22">
        <v>645</v>
      </c>
      <c r="E43" s="15" t="s">
        <v>22</v>
      </c>
      <c r="F43" s="11">
        <v>5</v>
      </c>
    </row>
    <row r="44" spans="1:6" x14ac:dyDescent="0.5">
      <c r="A44" s="15" t="s">
        <v>173</v>
      </c>
      <c r="B44" s="22">
        <v>644</v>
      </c>
      <c r="E44" s="15" t="s">
        <v>415</v>
      </c>
      <c r="F44" s="11">
        <v>5</v>
      </c>
    </row>
    <row r="45" spans="1:6" x14ac:dyDescent="0.5">
      <c r="A45" s="15" t="s">
        <v>92</v>
      </c>
      <c r="B45" s="22">
        <v>640</v>
      </c>
      <c r="E45" s="15" t="s">
        <v>224</v>
      </c>
      <c r="F45" s="11">
        <v>5</v>
      </c>
    </row>
    <row r="46" spans="1:6" x14ac:dyDescent="0.5">
      <c r="A46" s="15" t="s">
        <v>95</v>
      </c>
      <c r="B46" s="22">
        <v>640</v>
      </c>
      <c r="E46" s="15" t="s">
        <v>38</v>
      </c>
      <c r="F46" s="11">
        <v>5</v>
      </c>
    </row>
    <row r="47" spans="1:6" x14ac:dyDescent="0.5">
      <c r="A47" s="15" t="s">
        <v>433</v>
      </c>
      <c r="B47" s="22">
        <v>620</v>
      </c>
      <c r="E47" s="15" t="s">
        <v>392</v>
      </c>
      <c r="F47" s="11">
        <v>3</v>
      </c>
    </row>
    <row r="48" spans="1:6" x14ac:dyDescent="0.5">
      <c r="A48" s="15" t="s">
        <v>22</v>
      </c>
      <c r="B48" s="22">
        <v>616</v>
      </c>
      <c r="E48" s="15" t="s">
        <v>120</v>
      </c>
      <c r="F48" s="11">
        <v>2</v>
      </c>
    </row>
    <row r="49" spans="1:6" x14ac:dyDescent="0.5">
      <c r="A49" s="15" t="s">
        <v>145</v>
      </c>
      <c r="B49" s="22">
        <v>595</v>
      </c>
      <c r="E49" s="15" t="s">
        <v>56</v>
      </c>
      <c r="F49" s="11">
        <v>2</v>
      </c>
    </row>
    <row r="50" spans="1:6" x14ac:dyDescent="0.5">
      <c r="A50" s="15" t="s">
        <v>33</v>
      </c>
      <c r="B50" s="22">
        <v>592</v>
      </c>
      <c r="E50" s="15" t="s">
        <v>6</v>
      </c>
      <c r="F50" s="11">
        <v>2</v>
      </c>
    </row>
    <row r="51" spans="1:6" x14ac:dyDescent="0.5">
      <c r="A51" s="15" t="s">
        <v>432</v>
      </c>
      <c r="B51" s="22">
        <v>587</v>
      </c>
      <c r="E51" s="15" t="s">
        <v>33</v>
      </c>
      <c r="F51" s="11">
        <v>2</v>
      </c>
    </row>
    <row r="52" spans="1:6" x14ac:dyDescent="0.5">
      <c r="A52" s="15" t="s">
        <v>6</v>
      </c>
      <c r="B52" s="22">
        <v>575</v>
      </c>
      <c r="E52" s="15" t="s">
        <v>60</v>
      </c>
      <c r="F52" s="11">
        <v>2</v>
      </c>
    </row>
    <row r="53" spans="1:6" x14ac:dyDescent="0.5">
      <c r="A53" s="15" t="s">
        <v>168</v>
      </c>
      <c r="B53" s="22">
        <v>544</v>
      </c>
      <c r="E53" s="15" t="s">
        <v>253</v>
      </c>
      <c r="F53" s="11">
        <v>1</v>
      </c>
    </row>
    <row r="54" spans="1:6" x14ac:dyDescent="0.5">
      <c r="A54" s="15" t="s">
        <v>410</v>
      </c>
      <c r="B54" s="22">
        <v>528</v>
      </c>
      <c r="E54" s="15" t="s">
        <v>245</v>
      </c>
      <c r="F54" s="11">
        <v>1</v>
      </c>
    </row>
    <row r="55" spans="1:6" x14ac:dyDescent="0.5">
      <c r="A55" s="15" t="s">
        <v>420</v>
      </c>
      <c r="B55" s="22">
        <v>510</v>
      </c>
      <c r="E55" s="15" t="s">
        <v>401</v>
      </c>
      <c r="F55" s="11">
        <v>1</v>
      </c>
    </row>
    <row r="56" spans="1:6" x14ac:dyDescent="0.5">
      <c r="A56" s="15" t="s">
        <v>44</v>
      </c>
      <c r="B56" s="22">
        <v>510</v>
      </c>
      <c r="E56" s="15" t="s">
        <v>422</v>
      </c>
      <c r="F56" s="11">
        <v>1</v>
      </c>
    </row>
    <row r="57" spans="1:6" x14ac:dyDescent="0.5">
      <c r="A57" s="15" t="s">
        <v>105</v>
      </c>
      <c r="B57" s="22">
        <v>510</v>
      </c>
      <c r="E57" s="15" t="s">
        <v>434</v>
      </c>
      <c r="F57" s="11">
        <v>1</v>
      </c>
    </row>
    <row r="58" spans="1:6" x14ac:dyDescent="0.5">
      <c r="A58" s="15" t="s">
        <v>289</v>
      </c>
      <c r="B58" s="22">
        <v>504</v>
      </c>
      <c r="E58" s="15" t="s">
        <v>428</v>
      </c>
      <c r="F58" s="11">
        <v>1</v>
      </c>
    </row>
    <row r="59" spans="1:6" x14ac:dyDescent="0.5">
      <c r="A59" s="15" t="s">
        <v>81</v>
      </c>
      <c r="B59" s="22">
        <v>500</v>
      </c>
      <c r="E59" s="15" t="s">
        <v>426</v>
      </c>
      <c r="F59" s="11">
        <v>0</v>
      </c>
    </row>
    <row r="60" spans="1:6" x14ac:dyDescent="0.5">
      <c r="A60" s="15" t="s">
        <v>390</v>
      </c>
      <c r="B60" s="22">
        <v>483</v>
      </c>
      <c r="E60" s="15" t="s">
        <v>266</v>
      </c>
      <c r="F60" s="11">
        <v>0</v>
      </c>
    </row>
    <row r="61" spans="1:6" x14ac:dyDescent="0.5">
      <c r="A61" s="15" t="s">
        <v>10</v>
      </c>
      <c r="B61" s="22">
        <v>472</v>
      </c>
      <c r="E61" s="15" t="s">
        <v>403</v>
      </c>
      <c r="F61" s="11">
        <v>0</v>
      </c>
    </row>
    <row r="62" spans="1:6" x14ac:dyDescent="0.5">
      <c r="A62" s="15" t="s">
        <v>397</v>
      </c>
      <c r="B62" s="22">
        <v>470</v>
      </c>
      <c r="E62" s="15" t="s">
        <v>399</v>
      </c>
      <c r="F62" s="11">
        <v>0</v>
      </c>
    </row>
    <row r="63" spans="1:6" x14ac:dyDescent="0.5">
      <c r="A63" s="15" t="s">
        <v>266</v>
      </c>
      <c r="B63" s="22">
        <v>470</v>
      </c>
      <c r="E63" s="15" t="s">
        <v>316</v>
      </c>
      <c r="F63" s="11">
        <v>0</v>
      </c>
    </row>
    <row r="64" spans="1:6" x14ac:dyDescent="0.5">
      <c r="A64" s="15" t="s">
        <v>131</v>
      </c>
      <c r="B64" s="22">
        <v>456</v>
      </c>
      <c r="E64" s="15" t="s">
        <v>407</v>
      </c>
      <c r="F64" s="11">
        <v>0</v>
      </c>
    </row>
    <row r="65" spans="1:6" x14ac:dyDescent="0.5">
      <c r="A65" s="15" t="s">
        <v>434</v>
      </c>
      <c r="B65" s="22">
        <v>450</v>
      </c>
      <c r="E65" s="15" t="s">
        <v>289</v>
      </c>
      <c r="F65" s="11">
        <v>0</v>
      </c>
    </row>
    <row r="66" spans="1:6" x14ac:dyDescent="0.5">
      <c r="A66" s="15" t="s">
        <v>405</v>
      </c>
      <c r="B66" s="22">
        <v>450</v>
      </c>
      <c r="E66" s="15" t="s">
        <v>143</v>
      </c>
      <c r="F66" s="11">
        <v>0</v>
      </c>
    </row>
    <row r="67" spans="1:6" x14ac:dyDescent="0.5">
      <c r="A67" s="15" t="s">
        <v>194</v>
      </c>
      <c r="B67" s="22">
        <v>428</v>
      </c>
      <c r="E67" s="15" t="s">
        <v>408</v>
      </c>
      <c r="F67" s="11">
        <v>0</v>
      </c>
    </row>
    <row r="68" spans="1:6" x14ac:dyDescent="0.5">
      <c r="A68" s="15" t="s">
        <v>170</v>
      </c>
      <c r="B68" s="22">
        <v>401</v>
      </c>
      <c r="E68" s="15" t="s">
        <v>256</v>
      </c>
      <c r="F68" s="11">
        <v>0</v>
      </c>
    </row>
    <row r="69" spans="1:6" x14ac:dyDescent="0.5">
      <c r="A69" s="15" t="s">
        <v>224</v>
      </c>
      <c r="B69" s="22">
        <v>390</v>
      </c>
      <c r="E69" s="15" t="s">
        <v>168</v>
      </c>
      <c r="F69" s="11">
        <v>0</v>
      </c>
    </row>
    <row r="70" spans="1:6" x14ac:dyDescent="0.5">
      <c r="A70" s="15" t="s">
        <v>391</v>
      </c>
      <c r="B70" s="22">
        <v>359</v>
      </c>
      <c r="E70" s="15" t="s">
        <v>433</v>
      </c>
      <c r="F70" s="11">
        <v>0</v>
      </c>
    </row>
    <row r="71" spans="1:6" x14ac:dyDescent="0.5">
      <c r="A71" s="15" t="s">
        <v>412</v>
      </c>
      <c r="B71" s="22">
        <v>355</v>
      </c>
      <c r="E71" s="15" t="s">
        <v>427</v>
      </c>
      <c r="F71" s="11">
        <v>0</v>
      </c>
    </row>
    <row r="72" spans="1:6" x14ac:dyDescent="0.5">
      <c r="A72" s="15" t="s">
        <v>316</v>
      </c>
      <c r="B72" s="22">
        <v>354</v>
      </c>
      <c r="E72" s="15" t="s">
        <v>421</v>
      </c>
      <c r="F72" s="11">
        <v>0</v>
      </c>
    </row>
    <row r="73" spans="1:6" x14ac:dyDescent="0.5">
      <c r="A73" s="15" t="s">
        <v>56</v>
      </c>
      <c r="B73" s="22">
        <v>352</v>
      </c>
      <c r="E73" s="15" t="s">
        <v>277</v>
      </c>
      <c r="F73" s="11">
        <v>0</v>
      </c>
    </row>
    <row r="74" spans="1:6" x14ac:dyDescent="0.5">
      <c r="A74" s="15" t="s">
        <v>413</v>
      </c>
      <c r="B74" s="22">
        <v>335</v>
      </c>
      <c r="E74" s="15" t="s">
        <v>160</v>
      </c>
      <c r="F74" s="11">
        <v>0</v>
      </c>
    </row>
    <row r="75" spans="1:6" x14ac:dyDescent="0.5">
      <c r="A75" s="15" t="s">
        <v>409</v>
      </c>
      <c r="B75" s="22">
        <v>330</v>
      </c>
      <c r="E75" s="15" t="s">
        <v>396</v>
      </c>
      <c r="F75" s="11">
        <v>0</v>
      </c>
    </row>
    <row r="76" spans="1:6" x14ac:dyDescent="0.5">
      <c r="A76" s="15" t="s">
        <v>215</v>
      </c>
      <c r="B76" s="22">
        <v>318</v>
      </c>
      <c r="E76" s="15" t="s">
        <v>282</v>
      </c>
      <c r="F76" s="11">
        <v>0</v>
      </c>
    </row>
    <row r="77" spans="1:6" x14ac:dyDescent="0.5">
      <c r="A77" s="15" t="s">
        <v>253</v>
      </c>
      <c r="B77" s="22">
        <v>317</v>
      </c>
      <c r="E77" s="15" t="s">
        <v>406</v>
      </c>
      <c r="F77" s="11">
        <v>0</v>
      </c>
    </row>
    <row r="78" spans="1:6" x14ac:dyDescent="0.5">
      <c r="A78" s="15" t="s">
        <v>154</v>
      </c>
      <c r="B78" s="22">
        <v>305</v>
      </c>
      <c r="E78" s="15" t="s">
        <v>173</v>
      </c>
      <c r="F78" s="11">
        <v>0</v>
      </c>
    </row>
    <row r="79" spans="1:6" x14ac:dyDescent="0.5">
      <c r="A79" s="15" t="s">
        <v>157</v>
      </c>
      <c r="B79" s="22">
        <v>301</v>
      </c>
      <c r="E79" s="15" t="s">
        <v>404</v>
      </c>
      <c r="F79" s="11">
        <v>0</v>
      </c>
    </row>
    <row r="80" spans="1:6" x14ac:dyDescent="0.5">
      <c r="A80" s="15" t="s">
        <v>26</v>
      </c>
      <c r="B80" s="22">
        <v>291</v>
      </c>
      <c r="E80" s="15" t="s">
        <v>272</v>
      </c>
      <c r="F80" s="11">
        <v>0</v>
      </c>
    </row>
    <row r="81" spans="1:6" x14ac:dyDescent="0.5">
      <c r="A81" s="15" t="s">
        <v>402</v>
      </c>
      <c r="B81" s="22">
        <v>267</v>
      </c>
      <c r="E81" s="15" t="s">
        <v>420</v>
      </c>
      <c r="F81" s="11">
        <v>0</v>
      </c>
    </row>
    <row r="82" spans="1:6" x14ac:dyDescent="0.5">
      <c r="A82" s="15" t="s">
        <v>258</v>
      </c>
      <c r="B82" s="22">
        <v>263</v>
      </c>
      <c r="E82" s="15" t="s">
        <v>424</v>
      </c>
      <c r="F82" s="11">
        <v>0</v>
      </c>
    </row>
    <row r="83" spans="1:6" x14ac:dyDescent="0.5">
      <c r="A83" s="15" t="s">
        <v>221</v>
      </c>
      <c r="B83" s="22">
        <v>257</v>
      </c>
      <c r="E83" s="15" t="s">
        <v>429</v>
      </c>
      <c r="F83" s="11">
        <v>0</v>
      </c>
    </row>
    <row r="84" spans="1:6" x14ac:dyDescent="0.5">
      <c r="A84" s="15" t="s">
        <v>284</v>
      </c>
      <c r="B84" s="22">
        <v>238</v>
      </c>
      <c r="E84" s="15" t="s">
        <v>274</v>
      </c>
      <c r="F84" s="11">
        <v>0</v>
      </c>
    </row>
    <row r="85" spans="1:6" x14ac:dyDescent="0.5">
      <c r="A85" s="15" t="s">
        <v>404</v>
      </c>
      <c r="B85" s="22">
        <v>238</v>
      </c>
      <c r="E85" s="15" t="s">
        <v>430</v>
      </c>
      <c r="F85" s="11">
        <v>0</v>
      </c>
    </row>
    <row r="86" spans="1:6" x14ac:dyDescent="0.5">
      <c r="A86" s="15" t="s">
        <v>256</v>
      </c>
      <c r="B86" s="22">
        <v>233</v>
      </c>
      <c r="E86" s="15" t="s">
        <v>140</v>
      </c>
      <c r="F86" s="11">
        <v>0</v>
      </c>
    </row>
    <row r="87" spans="1:6" x14ac:dyDescent="0.5">
      <c r="A87" s="15" t="s">
        <v>264</v>
      </c>
      <c r="B87" s="22">
        <v>231</v>
      </c>
      <c r="E87" s="15" t="s">
        <v>284</v>
      </c>
      <c r="F87" s="11">
        <v>0</v>
      </c>
    </row>
    <row r="88" spans="1:6" x14ac:dyDescent="0.5">
      <c r="A88" s="15" t="s">
        <v>89</v>
      </c>
      <c r="B88" s="22">
        <v>227</v>
      </c>
      <c r="E88" s="15" t="s">
        <v>312</v>
      </c>
      <c r="F88" s="11">
        <v>0</v>
      </c>
    </row>
    <row r="89" spans="1:6" x14ac:dyDescent="0.5">
      <c r="A89" s="15" t="s">
        <v>421</v>
      </c>
      <c r="B89" s="22">
        <v>220</v>
      </c>
      <c r="E89" s="15" t="s">
        <v>258</v>
      </c>
      <c r="F89" s="11">
        <v>0</v>
      </c>
    </row>
    <row r="90" spans="1:6" x14ac:dyDescent="0.5">
      <c r="A90" s="15" t="s">
        <v>389</v>
      </c>
      <c r="B90" s="22">
        <v>200</v>
      </c>
      <c r="E90" s="15" t="s">
        <v>170</v>
      </c>
      <c r="F90" s="11">
        <v>0</v>
      </c>
    </row>
    <row r="91" spans="1:6" x14ac:dyDescent="0.5">
      <c r="A91" s="15" t="s">
        <v>102</v>
      </c>
      <c r="B91" s="22">
        <v>197</v>
      </c>
      <c r="E91" s="15" t="s">
        <v>419</v>
      </c>
      <c r="F91" s="11">
        <v>0</v>
      </c>
    </row>
    <row r="92" spans="1:6" x14ac:dyDescent="0.5">
      <c r="A92" s="15" t="s">
        <v>120</v>
      </c>
      <c r="B92" s="22">
        <v>189</v>
      </c>
      <c r="E92" s="15" t="s">
        <v>314</v>
      </c>
      <c r="F92" s="11">
        <v>0</v>
      </c>
    </row>
    <row r="93" spans="1:6" x14ac:dyDescent="0.5">
      <c r="A93" s="15" t="s">
        <v>60</v>
      </c>
      <c r="B93" s="22">
        <v>165</v>
      </c>
      <c r="E93" s="15" t="s">
        <v>131</v>
      </c>
      <c r="F93" s="11">
        <v>0</v>
      </c>
    </row>
    <row r="94" spans="1:6" x14ac:dyDescent="0.5">
      <c r="A94" s="15" t="s">
        <v>287</v>
      </c>
      <c r="B94" s="22">
        <v>153</v>
      </c>
      <c r="E94" s="15" t="s">
        <v>269</v>
      </c>
      <c r="F94" s="11">
        <v>0</v>
      </c>
    </row>
    <row r="95" spans="1:6" x14ac:dyDescent="0.5">
      <c r="A95" s="15" t="s">
        <v>320</v>
      </c>
      <c r="B95" s="22">
        <v>151</v>
      </c>
      <c r="E95" s="15" t="s">
        <v>287</v>
      </c>
      <c r="F95" s="11">
        <v>0</v>
      </c>
    </row>
    <row r="96" spans="1:6" x14ac:dyDescent="0.5">
      <c r="A96" s="15" t="s">
        <v>280</v>
      </c>
      <c r="B96" s="22">
        <v>134</v>
      </c>
      <c r="E96" s="15" t="s">
        <v>280</v>
      </c>
      <c r="F96" s="11">
        <v>0</v>
      </c>
    </row>
    <row r="97" spans="1:6" x14ac:dyDescent="0.5">
      <c r="A97" s="15" t="s">
        <v>425</v>
      </c>
      <c r="B97" s="22">
        <v>101</v>
      </c>
      <c r="E97" s="15" t="s">
        <v>145</v>
      </c>
      <c r="F97" s="11">
        <v>0</v>
      </c>
    </row>
    <row r="98" spans="1:6" x14ac:dyDescent="0.5">
      <c r="A98" s="15" t="s">
        <v>274</v>
      </c>
      <c r="B98" s="22">
        <v>95</v>
      </c>
      <c r="E98" s="15" t="s">
        <v>148</v>
      </c>
      <c r="F98" s="11">
        <v>0</v>
      </c>
    </row>
    <row r="99" spans="1:6" x14ac:dyDescent="0.5">
      <c r="A99" s="15" t="s">
        <v>163</v>
      </c>
      <c r="B99" s="22">
        <v>85</v>
      </c>
      <c r="E99" s="15" t="s">
        <v>163</v>
      </c>
      <c r="F99" s="11">
        <v>0</v>
      </c>
    </row>
    <row r="100" spans="1:6" x14ac:dyDescent="0.5">
      <c r="A100" s="15" t="s">
        <v>237</v>
      </c>
      <c r="B100" s="22">
        <v>67</v>
      </c>
      <c r="E100" s="15" t="s">
        <v>423</v>
      </c>
      <c r="F100" s="11">
        <v>0</v>
      </c>
    </row>
    <row r="101" spans="1:6" x14ac:dyDescent="0.5">
      <c r="A101" s="15" t="s">
        <v>431</v>
      </c>
      <c r="B101" s="22">
        <v>62</v>
      </c>
      <c r="E101" s="15" t="s">
        <v>405</v>
      </c>
      <c r="F101" s="11">
        <v>0</v>
      </c>
    </row>
    <row r="102" spans="1:6" x14ac:dyDescent="0.5">
      <c r="A102" s="15" t="s">
        <v>395</v>
      </c>
      <c r="B102" s="22">
        <v>42</v>
      </c>
      <c r="E102" s="15" t="s">
        <v>431</v>
      </c>
      <c r="F102" s="11">
        <v>0</v>
      </c>
    </row>
    <row r="103" spans="1:6" x14ac:dyDescent="0.5">
      <c r="A103" s="15" t="s">
        <v>312</v>
      </c>
      <c r="B103" s="22">
        <v>41</v>
      </c>
      <c r="E103" s="15" t="s">
        <v>320</v>
      </c>
      <c r="F103" s="11">
        <v>0</v>
      </c>
    </row>
    <row r="104" spans="1:6" x14ac:dyDescent="0.5">
      <c r="A104" s="15" t="s">
        <v>407</v>
      </c>
      <c r="B104" s="22">
        <v>40</v>
      </c>
      <c r="E104" s="15" t="s">
        <v>157</v>
      </c>
      <c r="F104" s="11">
        <v>0</v>
      </c>
    </row>
    <row r="105" spans="1:6" x14ac:dyDescent="0.5">
      <c r="A105" s="15" t="s">
        <v>160</v>
      </c>
      <c r="B105" s="22">
        <v>39</v>
      </c>
      <c r="E105" s="15" t="s">
        <v>237</v>
      </c>
      <c r="F105" s="11">
        <v>0</v>
      </c>
    </row>
    <row r="106" spans="1:6" x14ac:dyDescent="0.5">
      <c r="A106" s="15" t="s">
        <v>140</v>
      </c>
      <c r="B106" s="22">
        <v>37</v>
      </c>
      <c r="E106" s="15" t="s">
        <v>264</v>
      </c>
      <c r="F106" s="11">
        <v>0</v>
      </c>
    </row>
    <row r="107" spans="1:6" x14ac:dyDescent="0.5">
      <c r="A107" s="15" t="s">
        <v>282</v>
      </c>
      <c r="B107" s="22">
        <v>37</v>
      </c>
      <c r="E107" s="15" t="s">
        <v>432</v>
      </c>
      <c r="F107" s="11">
        <v>0</v>
      </c>
    </row>
    <row r="108" spans="1:6" x14ac:dyDescent="0.5">
      <c r="A108" s="15" t="s">
        <v>424</v>
      </c>
      <c r="B108" s="22">
        <v>33</v>
      </c>
      <c r="E108" s="15" t="s">
        <v>175</v>
      </c>
      <c r="F108" s="11">
        <v>0</v>
      </c>
    </row>
    <row r="109" spans="1:6" x14ac:dyDescent="0.5">
      <c r="A109" s="15" t="s">
        <v>314</v>
      </c>
      <c r="B109" s="22">
        <v>31</v>
      </c>
      <c r="E109" s="15" t="s">
        <v>154</v>
      </c>
      <c r="F109" s="11">
        <v>0</v>
      </c>
    </row>
    <row r="110" spans="1:6" x14ac:dyDescent="0.5">
      <c r="A110" s="15" t="s">
        <v>430</v>
      </c>
      <c r="B110" s="22">
        <v>24</v>
      </c>
      <c r="E110" s="15" t="s">
        <v>425</v>
      </c>
      <c r="F110" s="11">
        <v>0</v>
      </c>
    </row>
    <row r="111" spans="1:6" x14ac:dyDescent="0.5">
      <c r="A111" s="15" t="s">
        <v>446</v>
      </c>
      <c r="B111" s="22">
        <v>2585</v>
      </c>
      <c r="E111" s="15" t="s">
        <v>446</v>
      </c>
      <c r="F111" s="11">
        <v>69</v>
      </c>
    </row>
    <row r="114" spans="1:3" x14ac:dyDescent="0.5">
      <c r="A114" s="14" t="s">
        <v>440</v>
      </c>
      <c r="B114" t="s">
        <v>451</v>
      </c>
      <c r="C114" t="s">
        <v>457</v>
      </c>
    </row>
    <row r="115" spans="1:3" x14ac:dyDescent="0.5">
      <c r="A115" s="15" t="s">
        <v>442</v>
      </c>
      <c r="B115" s="13">
        <v>1.83728813559322</v>
      </c>
      <c r="C115" s="11">
        <v>5.6610169491525424</v>
      </c>
    </row>
    <row r="116" spans="1:3" x14ac:dyDescent="0.5">
      <c r="A116" s="15" t="s">
        <v>443</v>
      </c>
      <c r="B116" s="13">
        <v>0.82777777777777772</v>
      </c>
      <c r="C116" s="11">
        <v>2.1111111111111112</v>
      </c>
    </row>
    <row r="117" spans="1:3" x14ac:dyDescent="0.5">
      <c r="A117" s="15" t="s">
        <v>441</v>
      </c>
      <c r="B117" s="13">
        <v>3.0290322580645168</v>
      </c>
      <c r="C117" s="11">
        <v>11.258064516129032</v>
      </c>
    </row>
    <row r="118" spans="1:3" x14ac:dyDescent="0.5">
      <c r="A118" s="15" t="s">
        <v>446</v>
      </c>
      <c r="B118" s="13">
        <v>2.0111111111111106</v>
      </c>
      <c r="C118" s="11">
        <v>6.6759259259259256</v>
      </c>
    </row>
  </sheetData>
  <conditionalFormatting sqref="A2:B2 A3:A110">
    <cfRule type="top10" dxfId="8" priority="3" rank="10"/>
  </conditionalFormatting>
  <conditionalFormatting sqref="E2:F2 E3:E110">
    <cfRule type="top10" dxfId="7" priority="1" rank="10"/>
    <cfRule type="top10" dxfId="6" priority="2" rank="10"/>
  </conditionalFormatting>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1DAD-28A8-4E2B-A879-43575DDC8DC3}">
  <dimension ref="A1:I109"/>
  <sheetViews>
    <sheetView topLeftCell="A2" workbookViewId="0">
      <selection activeCell="A30" sqref="A30"/>
    </sheetView>
  </sheetViews>
  <sheetFormatPr defaultRowHeight="14.5" x14ac:dyDescent="0.5"/>
  <cols>
    <col min="1" max="1" width="80.7265625" customWidth="1"/>
    <col min="2" max="2" width="14" customWidth="1"/>
    <col min="3" max="3" width="10.453125" style="11" customWidth="1"/>
    <col min="4" max="4" width="10.6328125" style="12" customWidth="1"/>
    <col min="5" max="5" width="12.26953125" style="11" customWidth="1"/>
    <col min="6" max="6" width="9" style="13" customWidth="1"/>
    <col min="7" max="7" width="8.453125" style="13" customWidth="1"/>
    <col min="8" max="8" width="16.36328125" style="13" customWidth="1"/>
    <col min="9" max="9" width="18.453125" style="13" customWidth="1"/>
  </cols>
  <sheetData>
    <row r="1" spans="1:9" ht="16.5" x14ac:dyDescent="0.5">
      <c r="A1" t="s">
        <v>0</v>
      </c>
      <c r="B1" s="11" t="s">
        <v>1</v>
      </c>
      <c r="C1" s="11" t="s">
        <v>2</v>
      </c>
      <c r="D1" s="12" t="s">
        <v>3</v>
      </c>
      <c r="E1" t="s">
        <v>435</v>
      </c>
      <c r="F1" s="11" t="s">
        <v>4</v>
      </c>
      <c r="G1" s="13" t="s">
        <v>386</v>
      </c>
      <c r="H1" t="s">
        <v>436</v>
      </c>
      <c r="I1" t="s">
        <v>440</v>
      </c>
    </row>
    <row r="2" spans="1:9" ht="16.5" x14ac:dyDescent="0.5">
      <c r="A2" t="s">
        <v>6</v>
      </c>
      <c r="B2">
        <v>950</v>
      </c>
      <c r="C2" s="11">
        <v>1525</v>
      </c>
      <c r="D2">
        <v>575</v>
      </c>
      <c r="E2">
        <v>0.38</v>
      </c>
      <c r="F2" s="11">
        <v>2</v>
      </c>
      <c r="G2" s="13">
        <v>4.5</v>
      </c>
      <c r="H2" t="s">
        <v>437</v>
      </c>
      <c r="I2" t="s">
        <v>441</v>
      </c>
    </row>
    <row r="3" spans="1:9" ht="16.5" hidden="1" x14ac:dyDescent="0.5">
      <c r="A3" t="s">
        <v>10</v>
      </c>
      <c r="B3">
        <v>527</v>
      </c>
      <c r="C3" s="11">
        <v>999</v>
      </c>
      <c r="D3">
        <v>472</v>
      </c>
      <c r="E3">
        <v>0.47</v>
      </c>
      <c r="F3" s="11">
        <v>14</v>
      </c>
      <c r="G3" s="13">
        <v>4.0999999999999996</v>
      </c>
      <c r="H3" t="s">
        <v>437</v>
      </c>
      <c r="I3" t="s">
        <v>442</v>
      </c>
    </row>
    <row r="4" spans="1:9" ht="16.5" x14ac:dyDescent="0.5">
      <c r="A4" t="s">
        <v>14</v>
      </c>
      <c r="B4">
        <v>2199</v>
      </c>
      <c r="C4" s="11">
        <v>2923</v>
      </c>
      <c r="D4">
        <v>724</v>
      </c>
      <c r="E4">
        <v>0.25</v>
      </c>
      <c r="F4" s="11">
        <v>24</v>
      </c>
      <c r="G4" s="13">
        <v>4.5999999999999996</v>
      </c>
      <c r="H4" t="s">
        <v>437</v>
      </c>
      <c r="I4" t="s">
        <v>441</v>
      </c>
    </row>
    <row r="5" spans="1:9" ht="16.5" x14ac:dyDescent="0.5">
      <c r="A5" t="s">
        <v>387</v>
      </c>
      <c r="B5">
        <v>1580</v>
      </c>
      <c r="C5" s="11">
        <v>2499</v>
      </c>
      <c r="D5">
        <v>919</v>
      </c>
      <c r="E5">
        <v>0.37</v>
      </c>
      <c r="F5" s="11">
        <v>7</v>
      </c>
      <c r="G5" s="13">
        <v>4.7</v>
      </c>
      <c r="H5" t="s">
        <v>437</v>
      </c>
      <c r="I5" t="s">
        <v>441</v>
      </c>
    </row>
    <row r="6" spans="1:9" ht="16.5" x14ac:dyDescent="0.5">
      <c r="A6" t="s">
        <v>22</v>
      </c>
      <c r="B6">
        <v>1740</v>
      </c>
      <c r="C6" s="11">
        <v>2356</v>
      </c>
      <c r="D6">
        <v>616</v>
      </c>
      <c r="E6">
        <v>0.26</v>
      </c>
      <c r="F6" s="11">
        <v>5</v>
      </c>
      <c r="G6" s="13">
        <v>4.8</v>
      </c>
      <c r="H6" t="s">
        <v>437</v>
      </c>
      <c r="I6" t="s">
        <v>441</v>
      </c>
    </row>
    <row r="7" spans="1:9" ht="16.5" hidden="1" x14ac:dyDescent="0.5">
      <c r="A7" t="s">
        <v>26</v>
      </c>
      <c r="B7">
        <v>2999</v>
      </c>
      <c r="C7" s="11">
        <v>3290</v>
      </c>
      <c r="D7">
        <v>291</v>
      </c>
      <c r="E7">
        <v>0.09</v>
      </c>
      <c r="F7" s="11">
        <v>15</v>
      </c>
      <c r="G7" s="13">
        <v>4</v>
      </c>
      <c r="H7" t="s">
        <v>438</v>
      </c>
      <c r="I7" t="s">
        <v>443</v>
      </c>
    </row>
    <row r="8" spans="1:9" ht="16.5" x14ac:dyDescent="0.5">
      <c r="A8" t="s">
        <v>30</v>
      </c>
      <c r="B8">
        <v>2319</v>
      </c>
      <c r="C8" s="11">
        <v>3032</v>
      </c>
      <c r="D8">
        <v>713</v>
      </c>
      <c r="E8">
        <v>0.24</v>
      </c>
      <c r="F8" s="11">
        <v>55</v>
      </c>
      <c r="G8" s="13">
        <v>4.5999999999999996</v>
      </c>
      <c r="H8" t="s">
        <v>437</v>
      </c>
      <c r="I8" t="s">
        <v>441</v>
      </c>
    </row>
    <row r="9" spans="1:9" ht="16.5" x14ac:dyDescent="0.5">
      <c r="A9" t="s">
        <v>33</v>
      </c>
      <c r="B9">
        <v>988</v>
      </c>
      <c r="C9" s="11">
        <v>1580</v>
      </c>
      <c r="D9">
        <v>592</v>
      </c>
      <c r="E9">
        <v>0.37</v>
      </c>
      <c r="F9" s="11">
        <v>2</v>
      </c>
      <c r="G9" s="13">
        <v>4</v>
      </c>
      <c r="H9" t="s">
        <v>438</v>
      </c>
      <c r="I9" t="s">
        <v>441</v>
      </c>
    </row>
    <row r="10" spans="1:9" ht="16.5" hidden="1" x14ac:dyDescent="0.5">
      <c r="A10" t="s">
        <v>388</v>
      </c>
      <c r="B10">
        <v>1274</v>
      </c>
      <c r="C10" s="11">
        <v>2800</v>
      </c>
      <c r="D10">
        <v>1526</v>
      </c>
      <c r="E10">
        <v>0.55000000000000004</v>
      </c>
      <c r="F10" s="11">
        <v>5</v>
      </c>
      <c r="G10" s="13">
        <v>4.8</v>
      </c>
      <c r="H10" t="s">
        <v>437</v>
      </c>
      <c r="I10" t="s">
        <v>442</v>
      </c>
    </row>
    <row r="11" spans="1:9" ht="16.5" hidden="1" x14ac:dyDescent="0.5">
      <c r="A11" t="s">
        <v>38</v>
      </c>
      <c r="B11">
        <v>1600</v>
      </c>
      <c r="C11" s="11">
        <v>2929</v>
      </c>
      <c r="D11">
        <v>1329</v>
      </c>
      <c r="E11">
        <v>0.45</v>
      </c>
      <c r="F11" s="11">
        <v>5</v>
      </c>
      <c r="G11" s="13">
        <v>3.8</v>
      </c>
      <c r="H11" t="s">
        <v>438</v>
      </c>
      <c r="I11" t="s">
        <v>442</v>
      </c>
    </row>
    <row r="12" spans="1:9" ht="16.5" x14ac:dyDescent="0.5">
      <c r="A12" t="s">
        <v>389</v>
      </c>
      <c r="B12">
        <v>799</v>
      </c>
      <c r="C12" s="11">
        <v>999</v>
      </c>
      <c r="D12">
        <v>200</v>
      </c>
      <c r="E12">
        <v>0.2</v>
      </c>
      <c r="F12" s="11">
        <v>12</v>
      </c>
      <c r="G12" s="13">
        <v>4.0999999999999996</v>
      </c>
      <c r="H12" t="s">
        <v>437</v>
      </c>
      <c r="I12" t="s">
        <v>441</v>
      </c>
    </row>
    <row r="13" spans="1:9" ht="16.5" x14ac:dyDescent="0.5">
      <c r="A13" t="s">
        <v>44</v>
      </c>
      <c r="B13">
        <v>990</v>
      </c>
      <c r="C13" s="11">
        <v>1500</v>
      </c>
      <c r="D13">
        <v>510</v>
      </c>
      <c r="E13">
        <v>0.34</v>
      </c>
      <c r="F13" s="11">
        <v>39</v>
      </c>
      <c r="G13" s="13">
        <v>4.7</v>
      </c>
      <c r="H13" t="s">
        <v>437</v>
      </c>
      <c r="I13" t="s">
        <v>441</v>
      </c>
    </row>
    <row r="14" spans="1:9" ht="16.5" hidden="1" x14ac:dyDescent="0.5">
      <c r="A14" t="s">
        <v>390</v>
      </c>
      <c r="B14">
        <v>552</v>
      </c>
      <c r="C14" s="11">
        <v>1035</v>
      </c>
      <c r="D14">
        <v>483</v>
      </c>
      <c r="E14">
        <v>0.47</v>
      </c>
      <c r="F14" s="11">
        <v>12</v>
      </c>
      <c r="G14" s="13">
        <v>4.8</v>
      </c>
      <c r="H14" t="s">
        <v>437</v>
      </c>
      <c r="I14" t="s">
        <v>442</v>
      </c>
    </row>
    <row r="15" spans="1:9" ht="16.5" hidden="1" x14ac:dyDescent="0.5">
      <c r="A15" t="s">
        <v>391</v>
      </c>
      <c r="B15">
        <v>501</v>
      </c>
      <c r="C15" s="11">
        <v>860</v>
      </c>
      <c r="D15">
        <v>359</v>
      </c>
      <c r="E15">
        <v>0.42</v>
      </c>
      <c r="F15" s="11">
        <v>6</v>
      </c>
      <c r="G15" s="13">
        <v>4.5</v>
      </c>
      <c r="H15" t="s">
        <v>437</v>
      </c>
      <c r="I15" t="s">
        <v>442</v>
      </c>
    </row>
    <row r="16" spans="1:9" ht="16.5" x14ac:dyDescent="0.5">
      <c r="A16" t="s">
        <v>53</v>
      </c>
      <c r="B16">
        <v>1680</v>
      </c>
      <c r="C16" s="11">
        <v>2499</v>
      </c>
      <c r="D16">
        <v>819</v>
      </c>
      <c r="E16">
        <v>0.33</v>
      </c>
      <c r="F16" s="11">
        <v>9</v>
      </c>
      <c r="G16" s="13">
        <v>4.2</v>
      </c>
      <c r="H16" t="s">
        <v>437</v>
      </c>
      <c r="I16" t="s">
        <v>441</v>
      </c>
    </row>
    <row r="17" spans="1:9" ht="16.5" hidden="1" x14ac:dyDescent="0.5">
      <c r="A17" t="s">
        <v>56</v>
      </c>
      <c r="B17">
        <v>332</v>
      </c>
      <c r="C17" s="11">
        <v>684</v>
      </c>
      <c r="D17">
        <v>352</v>
      </c>
      <c r="E17">
        <v>0.51</v>
      </c>
      <c r="F17" s="11">
        <v>2</v>
      </c>
      <c r="G17" s="13">
        <v>5</v>
      </c>
      <c r="H17" t="s">
        <v>437</v>
      </c>
      <c r="I17" t="s">
        <v>442</v>
      </c>
    </row>
    <row r="18" spans="1:9" ht="16.5" hidden="1" x14ac:dyDescent="0.5">
      <c r="A18" t="s">
        <v>60</v>
      </c>
      <c r="B18">
        <v>195</v>
      </c>
      <c r="C18" s="11">
        <v>360</v>
      </c>
      <c r="D18">
        <v>165</v>
      </c>
      <c r="E18">
        <v>0.46</v>
      </c>
      <c r="F18" s="11">
        <v>2</v>
      </c>
      <c r="G18" s="13">
        <v>5</v>
      </c>
      <c r="H18" t="s">
        <v>437</v>
      </c>
      <c r="I18" t="s">
        <v>442</v>
      </c>
    </row>
    <row r="19" spans="1:9" ht="16.5" hidden="1" x14ac:dyDescent="0.5">
      <c r="A19" t="s">
        <v>392</v>
      </c>
      <c r="B19">
        <v>2025</v>
      </c>
      <c r="C19" s="11">
        <v>3971</v>
      </c>
      <c r="D19">
        <v>1946</v>
      </c>
      <c r="E19">
        <v>0.49</v>
      </c>
      <c r="F19" s="11">
        <v>3</v>
      </c>
      <c r="G19" s="13">
        <v>5</v>
      </c>
      <c r="H19" t="s">
        <v>437</v>
      </c>
      <c r="I19" t="s">
        <v>442</v>
      </c>
    </row>
    <row r="20" spans="1:9" ht="16.5" hidden="1" x14ac:dyDescent="0.5">
      <c r="A20" t="s">
        <v>393</v>
      </c>
      <c r="B20">
        <v>2999</v>
      </c>
      <c r="C20" s="11">
        <v>3699</v>
      </c>
      <c r="D20">
        <v>700</v>
      </c>
      <c r="E20">
        <v>0.19</v>
      </c>
      <c r="F20" s="11">
        <v>5</v>
      </c>
      <c r="G20" s="13">
        <v>4.5999999999999996</v>
      </c>
      <c r="H20" t="s">
        <v>437</v>
      </c>
      <c r="I20" t="s">
        <v>443</v>
      </c>
    </row>
    <row r="21" spans="1:9" ht="16.5" hidden="1" x14ac:dyDescent="0.5">
      <c r="A21" t="s">
        <v>394</v>
      </c>
      <c r="B21">
        <v>998</v>
      </c>
      <c r="C21" s="11">
        <v>1966</v>
      </c>
      <c r="D21">
        <v>968</v>
      </c>
      <c r="E21">
        <v>0.49</v>
      </c>
      <c r="F21" s="11">
        <v>44</v>
      </c>
      <c r="G21" s="13">
        <v>4.5999999999999996</v>
      </c>
      <c r="H21" t="s">
        <v>437</v>
      </c>
      <c r="I21" t="s">
        <v>442</v>
      </c>
    </row>
    <row r="22" spans="1:9" ht="16.5" hidden="1" x14ac:dyDescent="0.5">
      <c r="A22" t="s">
        <v>395</v>
      </c>
      <c r="B22">
        <v>38</v>
      </c>
      <c r="C22" s="11">
        <v>80</v>
      </c>
      <c r="D22">
        <v>42</v>
      </c>
      <c r="E22">
        <v>0.53</v>
      </c>
      <c r="F22" s="11">
        <v>13</v>
      </c>
      <c r="G22" s="13">
        <v>3.3</v>
      </c>
      <c r="H22" t="s">
        <v>438</v>
      </c>
      <c r="I22" t="s">
        <v>442</v>
      </c>
    </row>
    <row r="23" spans="1:9" ht="16.5" hidden="1" x14ac:dyDescent="0.5">
      <c r="A23" t="s">
        <v>396</v>
      </c>
      <c r="B23">
        <v>1860</v>
      </c>
      <c r="C23" s="11">
        <v>3220</v>
      </c>
      <c r="D23">
        <v>1360</v>
      </c>
      <c r="E23">
        <v>0.42</v>
      </c>
      <c r="F23" s="11">
        <v>0</v>
      </c>
      <c r="G23" s="13">
        <v>0</v>
      </c>
      <c r="H23" t="s">
        <v>439</v>
      </c>
      <c r="I23" t="s">
        <v>442</v>
      </c>
    </row>
    <row r="24" spans="1:9" ht="16.5" x14ac:dyDescent="0.5">
      <c r="A24" t="s">
        <v>397</v>
      </c>
      <c r="B24">
        <v>880</v>
      </c>
      <c r="C24" s="11">
        <v>1350</v>
      </c>
      <c r="D24">
        <v>470</v>
      </c>
      <c r="E24">
        <v>0.35</v>
      </c>
      <c r="F24" s="11">
        <v>6</v>
      </c>
      <c r="G24" s="13">
        <v>4</v>
      </c>
      <c r="H24" t="s">
        <v>438</v>
      </c>
      <c r="I24" t="s">
        <v>441</v>
      </c>
    </row>
    <row r="25" spans="1:9" ht="16.5" x14ac:dyDescent="0.5">
      <c r="A25" t="s">
        <v>81</v>
      </c>
      <c r="B25">
        <v>1650</v>
      </c>
      <c r="C25" s="11">
        <v>2150</v>
      </c>
      <c r="D25">
        <v>500</v>
      </c>
      <c r="E25">
        <v>0.23</v>
      </c>
      <c r="F25" s="11">
        <v>14</v>
      </c>
      <c r="G25" s="13">
        <v>4.4000000000000004</v>
      </c>
      <c r="H25" t="s">
        <v>437</v>
      </c>
      <c r="I25" t="s">
        <v>441</v>
      </c>
    </row>
    <row r="26" spans="1:9" ht="16.5" hidden="1" x14ac:dyDescent="0.5">
      <c r="A26" t="s">
        <v>398</v>
      </c>
      <c r="B26">
        <v>2048</v>
      </c>
      <c r="C26" s="11">
        <v>4500</v>
      </c>
      <c r="D26">
        <v>2452</v>
      </c>
      <c r="E26">
        <v>0.54</v>
      </c>
      <c r="F26" s="11">
        <v>7</v>
      </c>
      <c r="G26" s="13">
        <v>4.3</v>
      </c>
      <c r="H26" t="s">
        <v>437</v>
      </c>
      <c r="I26" t="s">
        <v>442</v>
      </c>
    </row>
    <row r="27" spans="1:9" ht="16.5" x14ac:dyDescent="0.5">
      <c r="A27" t="s">
        <v>89</v>
      </c>
      <c r="B27">
        <v>420</v>
      </c>
      <c r="C27" s="11">
        <v>647</v>
      </c>
      <c r="D27">
        <v>227</v>
      </c>
      <c r="E27">
        <v>0.35</v>
      </c>
      <c r="F27" s="11">
        <v>49</v>
      </c>
      <c r="G27" s="13">
        <v>4.5999999999999996</v>
      </c>
      <c r="H27" t="s">
        <v>437</v>
      </c>
      <c r="I27" t="s">
        <v>441</v>
      </c>
    </row>
    <row r="28" spans="1:9" ht="16.5" hidden="1" x14ac:dyDescent="0.5">
      <c r="A28" t="s">
        <v>92</v>
      </c>
      <c r="B28">
        <v>2880</v>
      </c>
      <c r="C28" s="11">
        <v>3520</v>
      </c>
      <c r="D28">
        <v>640</v>
      </c>
      <c r="E28">
        <v>0.18</v>
      </c>
      <c r="F28" s="11">
        <v>12</v>
      </c>
      <c r="G28" s="13">
        <v>3.8</v>
      </c>
      <c r="H28" t="s">
        <v>438</v>
      </c>
      <c r="I28" t="s">
        <v>443</v>
      </c>
    </row>
    <row r="29" spans="1:9" ht="16.5" x14ac:dyDescent="0.5">
      <c r="A29" t="s">
        <v>95</v>
      </c>
      <c r="B29">
        <v>1350</v>
      </c>
      <c r="C29" s="11">
        <v>1990</v>
      </c>
      <c r="D29">
        <v>640</v>
      </c>
      <c r="E29">
        <v>0.32</v>
      </c>
      <c r="F29" s="11">
        <v>13</v>
      </c>
      <c r="G29" s="13">
        <v>3.8</v>
      </c>
      <c r="H29" t="s">
        <v>438</v>
      </c>
      <c r="I29" t="s">
        <v>441</v>
      </c>
    </row>
    <row r="30" spans="1:9" ht="16.5" x14ac:dyDescent="0.5">
      <c r="A30" t="s">
        <v>97</v>
      </c>
      <c r="B30">
        <v>1758</v>
      </c>
      <c r="C30" s="11">
        <v>2499</v>
      </c>
      <c r="D30">
        <v>741</v>
      </c>
      <c r="E30">
        <v>0.3</v>
      </c>
      <c r="F30" s="11">
        <v>20</v>
      </c>
      <c r="G30" s="13">
        <v>4.0999999999999996</v>
      </c>
      <c r="H30" t="s">
        <v>437</v>
      </c>
      <c r="I30" t="s">
        <v>441</v>
      </c>
    </row>
    <row r="31" spans="1:9" ht="16.5" hidden="1" x14ac:dyDescent="0.5">
      <c r="A31" t="s">
        <v>399</v>
      </c>
      <c r="B31">
        <v>2200</v>
      </c>
      <c r="C31" s="11">
        <v>4080</v>
      </c>
      <c r="D31">
        <v>1880</v>
      </c>
      <c r="E31">
        <v>0.46</v>
      </c>
      <c r="F31" s="11">
        <v>0</v>
      </c>
      <c r="G31" s="13">
        <v>0</v>
      </c>
      <c r="H31" t="s">
        <v>439</v>
      </c>
      <c r="I31" t="s">
        <v>442</v>
      </c>
    </row>
    <row r="32" spans="1:9" ht="16.5" hidden="1" x14ac:dyDescent="0.5">
      <c r="A32" t="s">
        <v>102</v>
      </c>
      <c r="B32">
        <v>185</v>
      </c>
      <c r="C32" s="11">
        <v>382</v>
      </c>
      <c r="D32">
        <v>197</v>
      </c>
      <c r="E32">
        <v>0.52</v>
      </c>
      <c r="F32" s="11">
        <v>9</v>
      </c>
      <c r="G32" s="13">
        <v>4.3</v>
      </c>
      <c r="H32" t="s">
        <v>437</v>
      </c>
      <c r="I32" t="s">
        <v>442</v>
      </c>
    </row>
    <row r="33" spans="1:9" ht="16.5" x14ac:dyDescent="0.5">
      <c r="A33" t="s">
        <v>105</v>
      </c>
      <c r="B33">
        <v>980</v>
      </c>
      <c r="C33" s="11">
        <v>1490</v>
      </c>
      <c r="D33">
        <v>510</v>
      </c>
      <c r="E33">
        <v>0.34</v>
      </c>
      <c r="F33" s="11">
        <v>12</v>
      </c>
      <c r="G33" s="13">
        <v>4.7</v>
      </c>
      <c r="H33" t="s">
        <v>437</v>
      </c>
      <c r="I33" t="s">
        <v>441</v>
      </c>
    </row>
    <row r="34" spans="1:9" ht="16.5" hidden="1" x14ac:dyDescent="0.5">
      <c r="A34" t="s">
        <v>400</v>
      </c>
      <c r="B34">
        <v>1820</v>
      </c>
      <c r="C34" s="11">
        <v>3490</v>
      </c>
      <c r="D34">
        <v>1670</v>
      </c>
      <c r="E34">
        <v>0.48</v>
      </c>
      <c r="F34" s="11">
        <v>9</v>
      </c>
      <c r="G34" s="13">
        <v>4.3</v>
      </c>
      <c r="H34" t="s">
        <v>437</v>
      </c>
      <c r="I34" t="s">
        <v>442</v>
      </c>
    </row>
    <row r="35" spans="1:9" ht="16.5" x14ac:dyDescent="0.5">
      <c r="A35" t="s">
        <v>111</v>
      </c>
      <c r="B35">
        <v>1940</v>
      </c>
      <c r="C35" s="11">
        <v>2650</v>
      </c>
      <c r="D35">
        <v>710</v>
      </c>
      <c r="E35">
        <v>0.27</v>
      </c>
      <c r="F35" s="11">
        <v>20</v>
      </c>
      <c r="G35" s="13">
        <v>4.7</v>
      </c>
      <c r="H35" t="s">
        <v>437</v>
      </c>
      <c r="I35" t="s">
        <v>441</v>
      </c>
    </row>
    <row r="36" spans="1:9" ht="16.5" x14ac:dyDescent="0.5">
      <c r="A36" t="s">
        <v>114</v>
      </c>
      <c r="B36">
        <v>1980</v>
      </c>
      <c r="C36" s="11">
        <v>2699</v>
      </c>
      <c r="D36">
        <v>719</v>
      </c>
      <c r="E36">
        <v>0.27</v>
      </c>
      <c r="F36" s="11">
        <v>32</v>
      </c>
      <c r="G36" s="13">
        <v>4.5</v>
      </c>
      <c r="H36" t="s">
        <v>437</v>
      </c>
      <c r="I36" t="s">
        <v>441</v>
      </c>
    </row>
    <row r="37" spans="1:9" ht="16.5" x14ac:dyDescent="0.5">
      <c r="A37" t="s">
        <v>401</v>
      </c>
      <c r="B37">
        <v>1620</v>
      </c>
      <c r="C37" s="11">
        <v>2690</v>
      </c>
      <c r="D37">
        <v>1070</v>
      </c>
      <c r="E37">
        <v>0.4</v>
      </c>
      <c r="F37" s="11">
        <v>1</v>
      </c>
      <c r="G37" s="13">
        <v>5</v>
      </c>
      <c r="H37" t="s">
        <v>437</v>
      </c>
      <c r="I37" t="s">
        <v>441</v>
      </c>
    </row>
    <row r="38" spans="1:9" ht="16.5" hidden="1" x14ac:dyDescent="0.5">
      <c r="A38" t="s">
        <v>120</v>
      </c>
      <c r="B38">
        <v>171</v>
      </c>
      <c r="C38" s="11">
        <v>360</v>
      </c>
      <c r="D38">
        <v>189</v>
      </c>
      <c r="E38">
        <v>0.53</v>
      </c>
      <c r="F38" s="11">
        <v>2</v>
      </c>
      <c r="G38" s="13">
        <v>5</v>
      </c>
      <c r="H38" t="s">
        <v>437</v>
      </c>
      <c r="I38" t="s">
        <v>442</v>
      </c>
    </row>
    <row r="39" spans="1:9" ht="16.5" hidden="1" x14ac:dyDescent="0.5">
      <c r="A39" t="s">
        <v>402</v>
      </c>
      <c r="B39">
        <v>389</v>
      </c>
      <c r="C39" s="11">
        <v>656</v>
      </c>
      <c r="D39">
        <v>267</v>
      </c>
      <c r="E39">
        <v>0.41</v>
      </c>
      <c r="F39" s="11">
        <v>36</v>
      </c>
      <c r="G39" s="13">
        <v>4.3</v>
      </c>
      <c r="H39" t="s">
        <v>437</v>
      </c>
      <c r="I39" t="s">
        <v>442</v>
      </c>
    </row>
    <row r="40" spans="1:9" ht="16.5" x14ac:dyDescent="0.5">
      <c r="A40" t="s">
        <v>403</v>
      </c>
      <c r="B40">
        <v>2750</v>
      </c>
      <c r="C40" s="11">
        <v>4471</v>
      </c>
      <c r="D40">
        <v>1721</v>
      </c>
      <c r="E40">
        <v>0.38</v>
      </c>
      <c r="F40" s="11">
        <v>0</v>
      </c>
      <c r="G40" s="13">
        <v>0</v>
      </c>
      <c r="H40" t="s">
        <v>439</v>
      </c>
      <c r="I40" t="s">
        <v>441</v>
      </c>
    </row>
    <row r="41" spans="1:9" ht="16.5" hidden="1" x14ac:dyDescent="0.5">
      <c r="A41" t="s">
        <v>131</v>
      </c>
      <c r="B41">
        <v>475</v>
      </c>
      <c r="C41" s="11">
        <v>931</v>
      </c>
      <c r="D41">
        <v>456</v>
      </c>
      <c r="E41">
        <v>0.49</v>
      </c>
      <c r="F41" s="11">
        <v>0</v>
      </c>
      <c r="G41" s="13">
        <v>0</v>
      </c>
      <c r="H41" t="s">
        <v>439</v>
      </c>
      <c r="I41" t="s">
        <v>442</v>
      </c>
    </row>
    <row r="42" spans="1:9" ht="16.5" hidden="1" x14ac:dyDescent="0.5">
      <c r="A42" t="s">
        <v>404</v>
      </c>
      <c r="B42">
        <v>238</v>
      </c>
      <c r="C42" s="11">
        <v>476</v>
      </c>
      <c r="D42">
        <v>238</v>
      </c>
      <c r="E42">
        <v>0.5</v>
      </c>
      <c r="F42" s="11">
        <v>0</v>
      </c>
      <c r="G42" s="13">
        <v>0</v>
      </c>
      <c r="H42" t="s">
        <v>439</v>
      </c>
      <c r="I42" t="s">
        <v>442</v>
      </c>
    </row>
    <row r="43" spans="1:9" ht="16.5" hidden="1" x14ac:dyDescent="0.5">
      <c r="A43" t="s">
        <v>405</v>
      </c>
      <c r="B43">
        <v>610</v>
      </c>
      <c r="C43" s="11">
        <v>1060</v>
      </c>
      <c r="D43">
        <v>450</v>
      </c>
      <c r="E43">
        <v>0.42</v>
      </c>
      <c r="F43" s="11">
        <v>0</v>
      </c>
      <c r="G43" s="13">
        <v>0</v>
      </c>
      <c r="H43" t="s">
        <v>439</v>
      </c>
      <c r="I43" t="s">
        <v>442</v>
      </c>
    </row>
    <row r="44" spans="1:9" ht="16.5" hidden="1" x14ac:dyDescent="0.5">
      <c r="A44" t="s">
        <v>140</v>
      </c>
      <c r="B44">
        <v>2132</v>
      </c>
      <c r="C44" s="11">
        <v>2169</v>
      </c>
      <c r="D44">
        <v>37</v>
      </c>
      <c r="E44">
        <v>0.02</v>
      </c>
      <c r="F44" s="11">
        <v>0</v>
      </c>
      <c r="G44" s="13">
        <v>0</v>
      </c>
      <c r="H44" t="s">
        <v>439</v>
      </c>
      <c r="I44" t="s">
        <v>443</v>
      </c>
    </row>
    <row r="45" spans="1:9" ht="16.5" hidden="1" x14ac:dyDescent="0.5">
      <c r="A45" t="s">
        <v>143</v>
      </c>
      <c r="B45">
        <v>999</v>
      </c>
      <c r="C45" s="11">
        <v>2000</v>
      </c>
      <c r="D45">
        <v>1001</v>
      </c>
      <c r="E45">
        <v>0.5</v>
      </c>
      <c r="F45" s="11">
        <v>0</v>
      </c>
      <c r="G45" s="13">
        <v>0</v>
      </c>
      <c r="H45" t="s">
        <v>439</v>
      </c>
      <c r="I45" t="s">
        <v>442</v>
      </c>
    </row>
    <row r="46" spans="1:9" ht="16.5" x14ac:dyDescent="0.5">
      <c r="A46" t="s">
        <v>145</v>
      </c>
      <c r="B46">
        <v>1190</v>
      </c>
      <c r="C46" s="11">
        <v>1785</v>
      </c>
      <c r="D46">
        <v>595</v>
      </c>
      <c r="E46">
        <v>0.33</v>
      </c>
      <c r="F46" s="11">
        <v>0</v>
      </c>
      <c r="G46" s="13">
        <v>0</v>
      </c>
      <c r="H46" t="s">
        <v>439</v>
      </c>
      <c r="I46" t="s">
        <v>441</v>
      </c>
    </row>
    <row r="47" spans="1:9" ht="16.5" hidden="1" x14ac:dyDescent="0.5">
      <c r="A47" t="s">
        <v>148</v>
      </c>
      <c r="B47">
        <v>671</v>
      </c>
      <c r="C47" s="11">
        <v>1316</v>
      </c>
      <c r="D47">
        <v>645</v>
      </c>
      <c r="E47">
        <v>0.49</v>
      </c>
      <c r="F47" s="11">
        <v>0</v>
      </c>
      <c r="G47" s="13">
        <v>0</v>
      </c>
      <c r="H47" t="s">
        <v>439</v>
      </c>
      <c r="I47" t="s">
        <v>442</v>
      </c>
    </row>
    <row r="48" spans="1:9" ht="16.5" x14ac:dyDescent="0.5">
      <c r="A48" t="s">
        <v>406</v>
      </c>
      <c r="B48">
        <v>1200</v>
      </c>
      <c r="C48" s="11">
        <v>1950</v>
      </c>
      <c r="D48">
        <v>750</v>
      </c>
      <c r="E48">
        <v>0.38</v>
      </c>
      <c r="F48" s="11">
        <v>0</v>
      </c>
      <c r="G48" s="13">
        <v>0</v>
      </c>
      <c r="H48" t="s">
        <v>439</v>
      </c>
      <c r="I48" t="s">
        <v>441</v>
      </c>
    </row>
    <row r="49" spans="1:9" ht="16.5" hidden="1" x14ac:dyDescent="0.5">
      <c r="A49" t="s">
        <v>154</v>
      </c>
      <c r="B49">
        <v>199</v>
      </c>
      <c r="C49" s="11">
        <v>504</v>
      </c>
      <c r="D49">
        <v>305</v>
      </c>
      <c r="E49">
        <v>0.61</v>
      </c>
      <c r="F49" s="11">
        <v>0</v>
      </c>
      <c r="G49" s="13">
        <v>0</v>
      </c>
      <c r="H49" t="s">
        <v>439</v>
      </c>
      <c r="I49" t="s">
        <v>442</v>
      </c>
    </row>
    <row r="50" spans="1:9" ht="16.5" hidden="1" x14ac:dyDescent="0.5">
      <c r="A50" t="s">
        <v>157</v>
      </c>
      <c r="B50">
        <v>299</v>
      </c>
      <c r="C50" s="11">
        <v>600</v>
      </c>
      <c r="D50">
        <v>301</v>
      </c>
      <c r="E50">
        <v>0.5</v>
      </c>
      <c r="F50" s="11">
        <v>0</v>
      </c>
      <c r="G50" s="13">
        <v>0</v>
      </c>
      <c r="H50" t="s">
        <v>439</v>
      </c>
      <c r="I50" t="s">
        <v>442</v>
      </c>
    </row>
    <row r="51" spans="1:9" ht="16.5" hidden="1" x14ac:dyDescent="0.5">
      <c r="A51" t="s">
        <v>160</v>
      </c>
      <c r="B51">
        <v>1660</v>
      </c>
      <c r="C51" s="11">
        <v>1699</v>
      </c>
      <c r="D51">
        <v>39</v>
      </c>
      <c r="E51">
        <v>0.02</v>
      </c>
      <c r="F51" s="11">
        <v>0</v>
      </c>
      <c r="G51" s="13">
        <v>0</v>
      </c>
      <c r="H51" t="s">
        <v>439</v>
      </c>
      <c r="I51" t="s">
        <v>443</v>
      </c>
    </row>
    <row r="52" spans="1:9" ht="16.5" x14ac:dyDescent="0.5">
      <c r="A52" t="s">
        <v>163</v>
      </c>
      <c r="B52">
        <v>299</v>
      </c>
      <c r="C52" s="11">
        <v>384</v>
      </c>
      <c r="D52">
        <v>85</v>
      </c>
      <c r="E52">
        <v>0.22</v>
      </c>
      <c r="F52" s="11">
        <v>0</v>
      </c>
      <c r="G52" s="13">
        <v>0</v>
      </c>
      <c r="H52" t="s">
        <v>439</v>
      </c>
      <c r="I52" t="s">
        <v>441</v>
      </c>
    </row>
    <row r="53" spans="1:9" ht="16.5" hidden="1" x14ac:dyDescent="0.5">
      <c r="A53" t="s">
        <v>407</v>
      </c>
      <c r="B53">
        <v>1459</v>
      </c>
      <c r="C53" s="11">
        <v>1499</v>
      </c>
      <c r="D53">
        <v>40</v>
      </c>
      <c r="E53">
        <v>0.03</v>
      </c>
      <c r="F53" s="11">
        <v>0</v>
      </c>
      <c r="G53" s="13">
        <v>0</v>
      </c>
      <c r="H53" t="s">
        <v>439</v>
      </c>
      <c r="I53" t="s">
        <v>443</v>
      </c>
    </row>
    <row r="54" spans="1:9" ht="16.5" hidden="1" x14ac:dyDescent="0.5">
      <c r="A54" t="s">
        <v>168</v>
      </c>
      <c r="B54">
        <v>799</v>
      </c>
      <c r="C54" s="11">
        <v>1343</v>
      </c>
      <c r="D54">
        <v>544</v>
      </c>
      <c r="E54">
        <v>0.41</v>
      </c>
      <c r="F54" s="11">
        <v>0</v>
      </c>
      <c r="G54" s="13">
        <v>0</v>
      </c>
      <c r="H54" t="s">
        <v>439</v>
      </c>
      <c r="I54" t="s">
        <v>442</v>
      </c>
    </row>
    <row r="55" spans="1:9" ht="16.5" hidden="1" x14ac:dyDescent="0.5">
      <c r="A55" t="s">
        <v>170</v>
      </c>
      <c r="B55">
        <v>499</v>
      </c>
      <c r="C55" s="11">
        <v>900</v>
      </c>
      <c r="D55">
        <v>401</v>
      </c>
      <c r="E55">
        <v>0.45</v>
      </c>
      <c r="F55" s="11">
        <v>0</v>
      </c>
      <c r="G55" s="13">
        <v>0</v>
      </c>
      <c r="H55" t="s">
        <v>439</v>
      </c>
      <c r="I55" t="s">
        <v>442</v>
      </c>
    </row>
    <row r="56" spans="1:9" ht="16.5" hidden="1" x14ac:dyDescent="0.5">
      <c r="A56" t="s">
        <v>173</v>
      </c>
      <c r="B56">
        <v>699</v>
      </c>
      <c r="C56" s="11">
        <v>1343</v>
      </c>
      <c r="D56">
        <v>644</v>
      </c>
      <c r="E56">
        <v>0.48</v>
      </c>
      <c r="F56" s="11">
        <v>0</v>
      </c>
      <c r="G56" s="13">
        <v>0</v>
      </c>
      <c r="H56" t="s">
        <v>439</v>
      </c>
      <c r="I56" t="s">
        <v>442</v>
      </c>
    </row>
    <row r="57" spans="1:9" ht="16.5" hidden="1" x14ac:dyDescent="0.5">
      <c r="A57" t="s">
        <v>175</v>
      </c>
      <c r="B57">
        <v>799</v>
      </c>
      <c r="C57" s="11">
        <v>1567</v>
      </c>
      <c r="D57">
        <v>768</v>
      </c>
      <c r="E57">
        <v>0.49</v>
      </c>
      <c r="F57" s="11">
        <v>0</v>
      </c>
      <c r="G57" s="13">
        <v>0</v>
      </c>
      <c r="H57" t="s">
        <v>439</v>
      </c>
      <c r="I57" t="s">
        <v>442</v>
      </c>
    </row>
    <row r="58" spans="1:9" ht="16.5" x14ac:dyDescent="0.5">
      <c r="A58" t="s">
        <v>408</v>
      </c>
      <c r="B58">
        <v>2799</v>
      </c>
      <c r="C58" s="11">
        <v>3810</v>
      </c>
      <c r="D58">
        <v>1011</v>
      </c>
      <c r="E58">
        <v>0.27</v>
      </c>
      <c r="F58" s="11">
        <v>0</v>
      </c>
      <c r="G58" s="13">
        <v>0</v>
      </c>
      <c r="H58" t="s">
        <v>439</v>
      </c>
      <c r="I58" t="s">
        <v>441</v>
      </c>
    </row>
    <row r="59" spans="1:9" ht="16.5" hidden="1" x14ac:dyDescent="0.5">
      <c r="A59" t="s">
        <v>409</v>
      </c>
      <c r="B59">
        <v>2170</v>
      </c>
      <c r="C59" s="11">
        <v>2500</v>
      </c>
      <c r="D59">
        <v>330</v>
      </c>
      <c r="E59">
        <v>0.13</v>
      </c>
      <c r="F59" s="11">
        <v>6</v>
      </c>
      <c r="G59" s="13">
        <v>2.5</v>
      </c>
      <c r="H59" t="s">
        <v>439</v>
      </c>
      <c r="I59" t="s">
        <v>443</v>
      </c>
    </row>
    <row r="60" spans="1:9" ht="16.5" hidden="1" x14ac:dyDescent="0.5">
      <c r="A60" t="s">
        <v>410</v>
      </c>
      <c r="B60">
        <v>458</v>
      </c>
      <c r="C60" s="11">
        <v>986</v>
      </c>
      <c r="D60">
        <v>528</v>
      </c>
      <c r="E60">
        <v>0.54</v>
      </c>
      <c r="F60" s="11">
        <v>10</v>
      </c>
      <c r="G60" s="13">
        <v>3</v>
      </c>
      <c r="H60" t="s">
        <v>438</v>
      </c>
      <c r="I60" t="s">
        <v>442</v>
      </c>
    </row>
    <row r="61" spans="1:9" ht="16.5" hidden="1" x14ac:dyDescent="0.5">
      <c r="A61" t="s">
        <v>411</v>
      </c>
      <c r="B61">
        <v>2115</v>
      </c>
      <c r="C61" s="11">
        <v>4700</v>
      </c>
      <c r="D61">
        <v>2585</v>
      </c>
      <c r="E61">
        <v>0.55000000000000004</v>
      </c>
      <c r="F61" s="11">
        <v>13</v>
      </c>
      <c r="G61" s="13">
        <v>2.1</v>
      </c>
      <c r="H61" t="s">
        <v>439</v>
      </c>
      <c r="I61" t="s">
        <v>442</v>
      </c>
    </row>
    <row r="62" spans="1:9" ht="16.5" hidden="1" x14ac:dyDescent="0.5">
      <c r="A62" t="s">
        <v>194</v>
      </c>
      <c r="B62">
        <v>445</v>
      </c>
      <c r="C62" s="11">
        <v>873</v>
      </c>
      <c r="D62">
        <v>428</v>
      </c>
      <c r="E62">
        <v>0.49</v>
      </c>
      <c r="F62" s="11">
        <v>69</v>
      </c>
      <c r="G62" s="13">
        <v>2.8</v>
      </c>
      <c r="H62" t="s">
        <v>439</v>
      </c>
      <c r="I62" t="s">
        <v>442</v>
      </c>
    </row>
    <row r="63" spans="1:9" ht="16.5" hidden="1" x14ac:dyDescent="0.5">
      <c r="A63" t="s">
        <v>412</v>
      </c>
      <c r="B63">
        <v>325</v>
      </c>
      <c r="C63" s="11">
        <v>680</v>
      </c>
      <c r="D63">
        <v>355</v>
      </c>
      <c r="E63">
        <v>0.52</v>
      </c>
      <c r="F63" s="11">
        <v>15</v>
      </c>
      <c r="G63" s="13">
        <v>2.7</v>
      </c>
      <c r="H63" t="s">
        <v>439</v>
      </c>
      <c r="I63" t="s">
        <v>442</v>
      </c>
    </row>
    <row r="64" spans="1:9" ht="16.5" x14ac:dyDescent="0.5">
      <c r="A64" t="s">
        <v>413</v>
      </c>
      <c r="B64">
        <v>1220</v>
      </c>
      <c r="C64" s="11">
        <v>1555</v>
      </c>
      <c r="D64">
        <v>335</v>
      </c>
      <c r="E64">
        <v>0.22</v>
      </c>
      <c r="F64" s="11">
        <v>16</v>
      </c>
      <c r="G64" s="13">
        <v>2.9</v>
      </c>
      <c r="H64" t="s">
        <v>439</v>
      </c>
      <c r="I64" t="s">
        <v>441</v>
      </c>
    </row>
    <row r="65" spans="1:9" ht="16.5" hidden="1" x14ac:dyDescent="0.5">
      <c r="A65" t="s">
        <v>206</v>
      </c>
      <c r="B65">
        <v>990</v>
      </c>
      <c r="C65" s="11">
        <v>1814</v>
      </c>
      <c r="D65">
        <v>824</v>
      </c>
      <c r="E65">
        <v>0.45</v>
      </c>
      <c r="F65" s="11">
        <v>6</v>
      </c>
      <c r="G65" s="13">
        <v>2.2000000000000002</v>
      </c>
      <c r="H65" t="s">
        <v>439</v>
      </c>
      <c r="I65" t="s">
        <v>442</v>
      </c>
    </row>
    <row r="66" spans="1:9" ht="16.5" hidden="1" x14ac:dyDescent="0.5">
      <c r="A66" t="s">
        <v>414</v>
      </c>
      <c r="B66">
        <v>1000</v>
      </c>
      <c r="C66" s="11">
        <v>2000</v>
      </c>
      <c r="D66">
        <v>1000</v>
      </c>
      <c r="E66">
        <v>0.5</v>
      </c>
      <c r="F66" s="11">
        <v>7</v>
      </c>
      <c r="G66" s="13">
        <v>2.2999999999999998</v>
      </c>
      <c r="H66" t="s">
        <v>439</v>
      </c>
      <c r="I66" t="s">
        <v>442</v>
      </c>
    </row>
    <row r="67" spans="1:9" ht="16.5" x14ac:dyDescent="0.5">
      <c r="A67" t="s">
        <v>415</v>
      </c>
      <c r="B67">
        <v>3750</v>
      </c>
      <c r="C67" s="11">
        <v>6143</v>
      </c>
      <c r="D67">
        <v>2393</v>
      </c>
      <c r="E67">
        <v>0.39</v>
      </c>
      <c r="F67" s="11">
        <v>5</v>
      </c>
      <c r="G67" s="13">
        <v>3</v>
      </c>
      <c r="H67" t="s">
        <v>438</v>
      </c>
      <c r="I67" t="s">
        <v>441</v>
      </c>
    </row>
    <row r="68" spans="1:9" ht="16.5" hidden="1" x14ac:dyDescent="0.5">
      <c r="A68" t="s">
        <v>215</v>
      </c>
      <c r="B68">
        <v>382</v>
      </c>
      <c r="C68" s="11">
        <v>700</v>
      </c>
      <c r="D68">
        <v>318</v>
      </c>
      <c r="E68">
        <v>0.45</v>
      </c>
      <c r="F68" s="11">
        <v>17</v>
      </c>
      <c r="G68" s="13">
        <v>2.6</v>
      </c>
      <c r="H68" t="s">
        <v>439</v>
      </c>
      <c r="I68" t="s">
        <v>442</v>
      </c>
    </row>
    <row r="69" spans="1:9" ht="16.5" x14ac:dyDescent="0.5">
      <c r="A69" t="s">
        <v>416</v>
      </c>
      <c r="B69">
        <v>2300</v>
      </c>
      <c r="C69" s="11">
        <v>3240</v>
      </c>
      <c r="D69">
        <v>940</v>
      </c>
      <c r="E69">
        <v>0.28999999999999998</v>
      </c>
      <c r="F69" s="11">
        <v>5</v>
      </c>
      <c r="G69" s="13">
        <v>3</v>
      </c>
      <c r="H69" t="s">
        <v>438</v>
      </c>
      <c r="I69" t="s">
        <v>441</v>
      </c>
    </row>
    <row r="70" spans="1:9" ht="16.5" hidden="1" x14ac:dyDescent="0.5">
      <c r="A70" t="s">
        <v>221</v>
      </c>
      <c r="B70">
        <v>345</v>
      </c>
      <c r="C70" s="11">
        <v>602</v>
      </c>
      <c r="D70">
        <v>257</v>
      </c>
      <c r="E70">
        <v>0.43</v>
      </c>
      <c r="F70" s="11">
        <v>6</v>
      </c>
      <c r="G70" s="13">
        <v>2.2999999999999998</v>
      </c>
      <c r="H70" t="s">
        <v>439</v>
      </c>
      <c r="I70" t="s">
        <v>442</v>
      </c>
    </row>
    <row r="71" spans="1:9" ht="16.5" hidden="1" x14ac:dyDescent="0.5">
      <c r="A71" t="s">
        <v>224</v>
      </c>
      <c r="B71">
        <v>509</v>
      </c>
      <c r="C71" s="11">
        <v>899</v>
      </c>
      <c r="D71">
        <v>390</v>
      </c>
      <c r="E71">
        <v>0.43</v>
      </c>
      <c r="F71" s="11">
        <v>5</v>
      </c>
      <c r="G71" s="13">
        <v>3</v>
      </c>
      <c r="H71" t="s">
        <v>438</v>
      </c>
      <c r="I71" t="s">
        <v>442</v>
      </c>
    </row>
    <row r="72" spans="1:9" ht="16.5" hidden="1" x14ac:dyDescent="0.5">
      <c r="A72" t="s">
        <v>417</v>
      </c>
      <c r="B72">
        <v>968</v>
      </c>
      <c r="C72" s="11">
        <v>1814</v>
      </c>
      <c r="D72">
        <v>846</v>
      </c>
      <c r="E72">
        <v>0.47</v>
      </c>
      <c r="F72" s="11">
        <v>6</v>
      </c>
      <c r="G72" s="13">
        <v>2.2000000000000002</v>
      </c>
      <c r="H72" t="s">
        <v>439</v>
      </c>
      <c r="I72" t="s">
        <v>442</v>
      </c>
    </row>
    <row r="73" spans="1:9" ht="16.5" hidden="1" x14ac:dyDescent="0.5">
      <c r="A73" t="s">
        <v>418</v>
      </c>
      <c r="B73">
        <v>1570</v>
      </c>
      <c r="C73" s="11">
        <v>2988</v>
      </c>
      <c r="D73">
        <v>1418</v>
      </c>
      <c r="E73">
        <v>0.47</v>
      </c>
      <c r="F73" s="11">
        <v>7</v>
      </c>
      <c r="G73" s="13">
        <v>2.1</v>
      </c>
      <c r="H73" t="s">
        <v>439</v>
      </c>
      <c r="I73" t="s">
        <v>442</v>
      </c>
    </row>
    <row r="74" spans="1:9" ht="16.5" hidden="1" x14ac:dyDescent="0.5">
      <c r="A74" t="s">
        <v>419</v>
      </c>
      <c r="B74">
        <v>790</v>
      </c>
      <c r="C74" s="11">
        <v>1485</v>
      </c>
      <c r="D74">
        <v>695</v>
      </c>
      <c r="E74">
        <v>0.47</v>
      </c>
      <c r="F74" s="11">
        <v>0</v>
      </c>
      <c r="G74" s="13">
        <v>0</v>
      </c>
      <c r="H74" t="s">
        <v>439</v>
      </c>
      <c r="I74" t="s">
        <v>442</v>
      </c>
    </row>
    <row r="75" spans="1:9" ht="16.5" hidden="1" x14ac:dyDescent="0.5">
      <c r="A75" t="s">
        <v>420</v>
      </c>
      <c r="B75">
        <v>690</v>
      </c>
      <c r="C75" s="11">
        <v>1200</v>
      </c>
      <c r="D75">
        <v>510</v>
      </c>
      <c r="E75">
        <v>0.43</v>
      </c>
      <c r="F75" s="11">
        <v>0</v>
      </c>
      <c r="G75" s="13">
        <v>0</v>
      </c>
      <c r="H75" t="s">
        <v>439</v>
      </c>
      <c r="I75" t="s">
        <v>442</v>
      </c>
    </row>
    <row r="76" spans="1:9" ht="16.5" hidden="1" x14ac:dyDescent="0.5">
      <c r="A76" t="s">
        <v>237</v>
      </c>
      <c r="B76">
        <v>1732</v>
      </c>
      <c r="C76" s="11">
        <v>1799</v>
      </c>
      <c r="D76">
        <v>67</v>
      </c>
      <c r="E76">
        <v>0.04</v>
      </c>
      <c r="F76" s="11">
        <v>0</v>
      </c>
      <c r="G76" s="13">
        <v>0</v>
      </c>
      <c r="H76" t="s">
        <v>439</v>
      </c>
      <c r="I76" t="s">
        <v>443</v>
      </c>
    </row>
    <row r="77" spans="1:9" ht="16.5" hidden="1" x14ac:dyDescent="0.5">
      <c r="A77" t="s">
        <v>421</v>
      </c>
      <c r="B77">
        <v>230</v>
      </c>
      <c r="C77" s="11">
        <v>450</v>
      </c>
      <c r="D77">
        <v>220</v>
      </c>
      <c r="E77">
        <v>0.49</v>
      </c>
      <c r="F77" s="11">
        <v>0</v>
      </c>
      <c r="G77" s="13">
        <v>0</v>
      </c>
      <c r="H77" t="s">
        <v>439</v>
      </c>
      <c r="I77" t="s">
        <v>442</v>
      </c>
    </row>
    <row r="78" spans="1:9" ht="16.5" hidden="1" x14ac:dyDescent="0.5">
      <c r="A78" t="s">
        <v>422</v>
      </c>
      <c r="B78">
        <v>1189</v>
      </c>
      <c r="C78" s="11">
        <v>2199</v>
      </c>
      <c r="D78">
        <v>1010</v>
      </c>
      <c r="E78">
        <v>0.46</v>
      </c>
      <c r="F78" s="11">
        <v>1</v>
      </c>
      <c r="G78" s="13">
        <v>3</v>
      </c>
      <c r="H78" t="s">
        <v>438</v>
      </c>
      <c r="I78" t="s">
        <v>442</v>
      </c>
    </row>
    <row r="79" spans="1:9" ht="16.5" hidden="1" x14ac:dyDescent="0.5">
      <c r="A79" t="s">
        <v>245</v>
      </c>
      <c r="B79">
        <v>979</v>
      </c>
      <c r="C79" s="11">
        <v>1920</v>
      </c>
      <c r="D79">
        <v>941</v>
      </c>
      <c r="E79">
        <v>0.49</v>
      </c>
      <c r="F79" s="11">
        <v>1</v>
      </c>
      <c r="G79" s="13">
        <v>5</v>
      </c>
      <c r="H79" t="s">
        <v>437</v>
      </c>
      <c r="I79" t="s">
        <v>442</v>
      </c>
    </row>
    <row r="80" spans="1:9" ht="16.5" x14ac:dyDescent="0.5">
      <c r="A80" t="s">
        <v>423</v>
      </c>
      <c r="B80">
        <v>1460</v>
      </c>
      <c r="C80" s="11">
        <v>2290</v>
      </c>
      <c r="D80">
        <v>830</v>
      </c>
      <c r="E80">
        <v>0.36</v>
      </c>
      <c r="F80" s="11">
        <v>0</v>
      </c>
      <c r="G80" s="13">
        <v>0</v>
      </c>
      <c r="H80" t="s">
        <v>439</v>
      </c>
      <c r="I80" t="s">
        <v>441</v>
      </c>
    </row>
    <row r="81" spans="1:9" ht="16.5" hidden="1" x14ac:dyDescent="0.5">
      <c r="A81" t="s">
        <v>424</v>
      </c>
      <c r="B81">
        <v>1666</v>
      </c>
      <c r="C81" s="11">
        <v>1699</v>
      </c>
      <c r="D81">
        <v>33</v>
      </c>
      <c r="E81">
        <v>0.02</v>
      </c>
      <c r="F81" s="11">
        <v>0</v>
      </c>
      <c r="G81" s="13">
        <v>0</v>
      </c>
      <c r="H81" t="s">
        <v>439</v>
      </c>
      <c r="I81" t="s">
        <v>443</v>
      </c>
    </row>
    <row r="82" spans="1:9" ht="16.5" hidden="1" x14ac:dyDescent="0.5">
      <c r="A82" t="s">
        <v>253</v>
      </c>
      <c r="B82">
        <v>330</v>
      </c>
      <c r="C82" s="11">
        <v>647</v>
      </c>
      <c r="D82">
        <v>317</v>
      </c>
      <c r="E82">
        <v>0.49</v>
      </c>
      <c r="F82" s="11">
        <v>1</v>
      </c>
      <c r="G82" s="13">
        <v>4</v>
      </c>
      <c r="H82" t="s">
        <v>438</v>
      </c>
      <c r="I82" t="s">
        <v>442</v>
      </c>
    </row>
    <row r="83" spans="1:9" ht="16.5" hidden="1" x14ac:dyDescent="0.5">
      <c r="A83" t="s">
        <v>256</v>
      </c>
      <c r="B83">
        <v>1466</v>
      </c>
      <c r="C83" s="11">
        <v>1699</v>
      </c>
      <c r="D83">
        <v>233</v>
      </c>
      <c r="E83">
        <v>0.14000000000000001</v>
      </c>
      <c r="F83" s="11">
        <v>0</v>
      </c>
      <c r="G83" s="13">
        <v>0</v>
      </c>
      <c r="H83" t="s">
        <v>439</v>
      </c>
      <c r="I83" t="s">
        <v>443</v>
      </c>
    </row>
    <row r="84" spans="1:9" ht="16.5" hidden="1" x14ac:dyDescent="0.5">
      <c r="A84" t="s">
        <v>258</v>
      </c>
      <c r="B84">
        <v>274</v>
      </c>
      <c r="C84" s="11">
        <v>537</v>
      </c>
      <c r="D84">
        <v>263</v>
      </c>
      <c r="E84">
        <v>0.49</v>
      </c>
      <c r="F84" s="11">
        <v>0</v>
      </c>
      <c r="G84" s="13">
        <v>0</v>
      </c>
      <c r="H84" t="s">
        <v>439</v>
      </c>
      <c r="I84" t="s">
        <v>442</v>
      </c>
    </row>
    <row r="85" spans="1:9" ht="16.5" hidden="1" x14ac:dyDescent="0.5">
      <c r="A85" t="s">
        <v>425</v>
      </c>
      <c r="B85">
        <v>799</v>
      </c>
      <c r="C85" s="11">
        <v>900</v>
      </c>
      <c r="D85">
        <v>101</v>
      </c>
      <c r="E85">
        <v>0.11</v>
      </c>
      <c r="F85" s="11">
        <v>0</v>
      </c>
      <c r="G85" s="13">
        <v>0</v>
      </c>
      <c r="H85" t="s">
        <v>439</v>
      </c>
      <c r="I85" t="s">
        <v>443</v>
      </c>
    </row>
    <row r="86" spans="1:9" ht="16.5" hidden="1" x14ac:dyDescent="0.5">
      <c r="A86" t="s">
        <v>264</v>
      </c>
      <c r="B86">
        <v>1468</v>
      </c>
      <c r="C86" s="11">
        <v>1699</v>
      </c>
      <c r="D86">
        <v>231</v>
      </c>
      <c r="E86">
        <v>0.14000000000000001</v>
      </c>
      <c r="F86" s="11">
        <v>0</v>
      </c>
      <c r="G86" s="13">
        <v>0</v>
      </c>
      <c r="H86" t="s">
        <v>439</v>
      </c>
      <c r="I86" t="s">
        <v>443</v>
      </c>
    </row>
    <row r="87" spans="1:9" ht="16.5" hidden="1" x14ac:dyDescent="0.5">
      <c r="A87" t="s">
        <v>266</v>
      </c>
      <c r="B87">
        <v>630</v>
      </c>
      <c r="C87" s="11">
        <v>1100</v>
      </c>
      <c r="D87">
        <v>470</v>
      </c>
      <c r="E87">
        <v>0.43</v>
      </c>
      <c r="F87" s="11">
        <v>0</v>
      </c>
      <c r="G87" s="13">
        <v>0</v>
      </c>
      <c r="H87" t="s">
        <v>439</v>
      </c>
      <c r="I87" t="s">
        <v>442</v>
      </c>
    </row>
    <row r="88" spans="1:9" ht="16.5" hidden="1" x14ac:dyDescent="0.5">
      <c r="A88" t="s">
        <v>269</v>
      </c>
      <c r="B88">
        <v>850</v>
      </c>
      <c r="C88" s="11">
        <v>1700</v>
      </c>
      <c r="D88">
        <v>850</v>
      </c>
      <c r="E88">
        <v>0.5</v>
      </c>
      <c r="F88" s="11">
        <v>0</v>
      </c>
      <c r="G88" s="13">
        <v>0</v>
      </c>
      <c r="H88" t="s">
        <v>439</v>
      </c>
      <c r="I88" t="s">
        <v>442</v>
      </c>
    </row>
    <row r="89" spans="1:9" ht="16.5" hidden="1" x14ac:dyDescent="0.5">
      <c r="A89" t="s">
        <v>272</v>
      </c>
      <c r="B89">
        <v>1300</v>
      </c>
      <c r="C89" s="11">
        <v>2500</v>
      </c>
      <c r="D89">
        <v>1200</v>
      </c>
      <c r="E89">
        <v>0.48</v>
      </c>
      <c r="F89" s="11">
        <v>0</v>
      </c>
      <c r="G89" s="13">
        <v>0</v>
      </c>
      <c r="H89" t="s">
        <v>439</v>
      </c>
      <c r="I89" t="s">
        <v>442</v>
      </c>
    </row>
    <row r="90" spans="1:9" ht="16.5" hidden="1" x14ac:dyDescent="0.5">
      <c r="A90" t="s">
        <v>274</v>
      </c>
      <c r="B90">
        <v>105</v>
      </c>
      <c r="C90" s="11">
        <v>200</v>
      </c>
      <c r="D90">
        <v>95</v>
      </c>
      <c r="E90">
        <v>0.48</v>
      </c>
      <c r="F90" s="11">
        <v>0</v>
      </c>
      <c r="G90" s="13">
        <v>0</v>
      </c>
      <c r="H90" t="s">
        <v>439</v>
      </c>
      <c r="I90" t="s">
        <v>442</v>
      </c>
    </row>
    <row r="91" spans="1:9" ht="16.5" hidden="1" x14ac:dyDescent="0.5">
      <c r="A91" t="s">
        <v>277</v>
      </c>
      <c r="B91">
        <v>899</v>
      </c>
      <c r="C91" s="11">
        <v>1699</v>
      </c>
      <c r="D91">
        <v>800</v>
      </c>
      <c r="E91">
        <v>0.47</v>
      </c>
      <c r="F91" s="11">
        <v>0</v>
      </c>
      <c r="G91" s="13">
        <v>0</v>
      </c>
      <c r="H91" t="s">
        <v>439</v>
      </c>
      <c r="I91" t="s">
        <v>442</v>
      </c>
    </row>
    <row r="92" spans="1:9" ht="16.5" hidden="1" x14ac:dyDescent="0.5">
      <c r="A92" t="s">
        <v>426</v>
      </c>
      <c r="B92">
        <v>1200</v>
      </c>
      <c r="C92" s="11">
        <v>2400</v>
      </c>
      <c r="D92">
        <v>1200</v>
      </c>
      <c r="E92">
        <v>0.5</v>
      </c>
      <c r="F92" s="11">
        <v>0</v>
      </c>
      <c r="G92" s="13">
        <v>0</v>
      </c>
      <c r="H92" t="s">
        <v>439</v>
      </c>
      <c r="I92" t="s">
        <v>442</v>
      </c>
    </row>
    <row r="93" spans="1:9" ht="16.5" hidden="1" x14ac:dyDescent="0.5">
      <c r="A93" t="s">
        <v>280</v>
      </c>
      <c r="B93">
        <v>1526</v>
      </c>
      <c r="C93" s="11">
        <v>1660</v>
      </c>
      <c r="D93">
        <v>134</v>
      </c>
      <c r="E93">
        <v>0.08</v>
      </c>
      <c r="F93" s="11">
        <v>0</v>
      </c>
      <c r="G93" s="13">
        <v>0</v>
      </c>
      <c r="H93" t="s">
        <v>439</v>
      </c>
      <c r="I93" t="s">
        <v>443</v>
      </c>
    </row>
    <row r="94" spans="1:9" ht="16.5" hidden="1" x14ac:dyDescent="0.5">
      <c r="A94" t="s">
        <v>282</v>
      </c>
      <c r="B94">
        <v>1462</v>
      </c>
      <c r="C94" s="11">
        <v>1499</v>
      </c>
      <c r="D94">
        <v>37</v>
      </c>
      <c r="E94">
        <v>0.02</v>
      </c>
      <c r="F94" s="11">
        <v>0</v>
      </c>
      <c r="G94" s="13">
        <v>0</v>
      </c>
      <c r="H94" t="s">
        <v>439</v>
      </c>
      <c r="I94" t="s">
        <v>443</v>
      </c>
    </row>
    <row r="95" spans="1:9" ht="16.5" hidden="1" x14ac:dyDescent="0.5">
      <c r="A95" t="s">
        <v>284</v>
      </c>
      <c r="B95">
        <v>248</v>
      </c>
      <c r="C95" s="11">
        <v>486</v>
      </c>
      <c r="D95">
        <v>238</v>
      </c>
      <c r="E95">
        <v>0.49</v>
      </c>
      <c r="F95" s="11">
        <v>0</v>
      </c>
      <c r="G95" s="13">
        <v>0</v>
      </c>
      <c r="H95" t="s">
        <v>439</v>
      </c>
      <c r="I95" t="s">
        <v>442</v>
      </c>
    </row>
    <row r="96" spans="1:9" ht="16.5" hidden="1" x14ac:dyDescent="0.5">
      <c r="A96" t="s">
        <v>287</v>
      </c>
      <c r="B96">
        <v>3546</v>
      </c>
      <c r="C96" s="11">
        <v>3699</v>
      </c>
      <c r="D96">
        <v>153</v>
      </c>
      <c r="E96">
        <v>0.04</v>
      </c>
      <c r="F96" s="11">
        <v>0</v>
      </c>
      <c r="G96" s="13">
        <v>0</v>
      </c>
      <c r="H96" t="s">
        <v>439</v>
      </c>
      <c r="I96" t="s">
        <v>443</v>
      </c>
    </row>
    <row r="97" spans="1:9" ht="16.5" hidden="1" x14ac:dyDescent="0.5">
      <c r="A97" t="s">
        <v>289</v>
      </c>
      <c r="B97">
        <v>525</v>
      </c>
      <c r="C97" s="11">
        <v>1029</v>
      </c>
      <c r="D97">
        <v>504</v>
      </c>
      <c r="E97">
        <v>0.49</v>
      </c>
      <c r="F97" s="11">
        <v>0</v>
      </c>
      <c r="G97" s="13">
        <v>0</v>
      </c>
      <c r="H97" t="s">
        <v>439</v>
      </c>
      <c r="I97" t="s">
        <v>442</v>
      </c>
    </row>
    <row r="98" spans="1:9" ht="16.5" hidden="1" x14ac:dyDescent="0.5">
      <c r="A98" t="s">
        <v>427</v>
      </c>
      <c r="B98">
        <v>1080</v>
      </c>
      <c r="C98" s="11">
        <v>1874</v>
      </c>
      <c r="D98">
        <v>794</v>
      </c>
      <c r="E98">
        <v>0.42</v>
      </c>
      <c r="F98" s="11">
        <v>0</v>
      </c>
      <c r="G98" s="13">
        <v>0</v>
      </c>
      <c r="H98" t="s">
        <v>439</v>
      </c>
      <c r="I98" t="s">
        <v>442</v>
      </c>
    </row>
    <row r="99" spans="1:9" ht="16.5" x14ac:dyDescent="0.5">
      <c r="A99" t="s">
        <v>428</v>
      </c>
      <c r="B99">
        <v>3640</v>
      </c>
      <c r="C99" s="11">
        <v>4588</v>
      </c>
      <c r="D99">
        <v>948</v>
      </c>
      <c r="E99">
        <v>0.21</v>
      </c>
      <c r="F99" s="11">
        <v>1</v>
      </c>
      <c r="G99" s="13">
        <v>5</v>
      </c>
      <c r="H99" t="s">
        <v>437</v>
      </c>
      <c r="I99" t="s">
        <v>441</v>
      </c>
    </row>
    <row r="100" spans="1:9" ht="16.5" hidden="1" x14ac:dyDescent="0.5">
      <c r="A100" t="s">
        <v>429</v>
      </c>
      <c r="B100">
        <v>1420</v>
      </c>
      <c r="C100" s="11">
        <v>2420</v>
      </c>
      <c r="D100">
        <v>1000</v>
      </c>
      <c r="E100">
        <v>0.41</v>
      </c>
      <c r="F100" s="11">
        <v>0</v>
      </c>
      <c r="G100" s="13">
        <v>0</v>
      </c>
      <c r="H100" t="s">
        <v>439</v>
      </c>
      <c r="I100" t="s">
        <v>442</v>
      </c>
    </row>
    <row r="101" spans="1:9" ht="16.5" hidden="1" x14ac:dyDescent="0.5">
      <c r="A101" t="s">
        <v>430</v>
      </c>
      <c r="B101">
        <v>1875</v>
      </c>
      <c r="C101" s="11">
        <v>1899</v>
      </c>
      <c r="D101">
        <v>24</v>
      </c>
      <c r="E101">
        <v>0.01</v>
      </c>
      <c r="F101" s="11">
        <v>0</v>
      </c>
      <c r="G101" s="13">
        <v>0</v>
      </c>
      <c r="H101" t="s">
        <v>439</v>
      </c>
      <c r="I101" t="s">
        <v>443</v>
      </c>
    </row>
    <row r="102" spans="1:9" ht="16.5" x14ac:dyDescent="0.5">
      <c r="A102" t="s">
        <v>431</v>
      </c>
      <c r="B102">
        <v>198</v>
      </c>
      <c r="C102" s="11">
        <v>260</v>
      </c>
      <c r="D102">
        <v>62</v>
      </c>
      <c r="E102">
        <v>0.24</v>
      </c>
      <c r="F102" s="11">
        <v>0</v>
      </c>
      <c r="G102" s="13">
        <v>0</v>
      </c>
      <c r="H102" t="s">
        <v>439</v>
      </c>
      <c r="I102" t="s">
        <v>441</v>
      </c>
    </row>
    <row r="103" spans="1:9" ht="16.5" x14ac:dyDescent="0.5">
      <c r="A103" t="s">
        <v>432</v>
      </c>
      <c r="B103">
        <v>1150</v>
      </c>
      <c r="C103" s="11">
        <v>1737</v>
      </c>
      <c r="D103">
        <v>587</v>
      </c>
      <c r="E103">
        <v>0.34</v>
      </c>
      <c r="F103" s="11">
        <v>0</v>
      </c>
      <c r="G103" s="13">
        <v>0</v>
      </c>
      <c r="H103" t="s">
        <v>439</v>
      </c>
      <c r="I103" t="s">
        <v>441</v>
      </c>
    </row>
    <row r="104" spans="1:9" ht="16.5" x14ac:dyDescent="0.5">
      <c r="A104" t="s">
        <v>433</v>
      </c>
      <c r="B104">
        <v>1190</v>
      </c>
      <c r="C104" s="11">
        <v>1810</v>
      </c>
      <c r="D104">
        <v>620</v>
      </c>
      <c r="E104">
        <v>0.34</v>
      </c>
      <c r="F104" s="11">
        <v>0</v>
      </c>
      <c r="G104" s="13">
        <v>0</v>
      </c>
      <c r="H104" t="s">
        <v>439</v>
      </c>
      <c r="I104" t="s">
        <v>441</v>
      </c>
    </row>
    <row r="105" spans="1:9" ht="16.5" hidden="1" x14ac:dyDescent="0.5">
      <c r="A105" t="s">
        <v>312</v>
      </c>
      <c r="B105">
        <v>1658</v>
      </c>
      <c r="C105" s="11">
        <v>1699</v>
      </c>
      <c r="D105">
        <v>41</v>
      </c>
      <c r="E105">
        <v>0.02</v>
      </c>
      <c r="F105" s="11">
        <v>0</v>
      </c>
      <c r="G105" s="13">
        <v>0</v>
      </c>
      <c r="H105" t="s">
        <v>439</v>
      </c>
      <c r="I105" t="s">
        <v>443</v>
      </c>
    </row>
    <row r="106" spans="1:9" ht="16.5" hidden="1" x14ac:dyDescent="0.5">
      <c r="A106" t="s">
        <v>314</v>
      </c>
      <c r="B106">
        <v>1768</v>
      </c>
      <c r="C106" s="11">
        <v>1799</v>
      </c>
      <c r="D106">
        <v>31</v>
      </c>
      <c r="E106">
        <v>0.02</v>
      </c>
      <c r="F106" s="11">
        <v>0</v>
      </c>
      <c r="G106" s="13">
        <v>0</v>
      </c>
      <c r="H106" t="s">
        <v>439</v>
      </c>
      <c r="I106" t="s">
        <v>443</v>
      </c>
    </row>
    <row r="107" spans="1:9" ht="16.5" hidden="1" x14ac:dyDescent="0.5">
      <c r="A107" t="s">
        <v>316</v>
      </c>
      <c r="B107">
        <v>199</v>
      </c>
      <c r="C107" s="11">
        <v>553</v>
      </c>
      <c r="D107">
        <v>354</v>
      </c>
      <c r="E107">
        <v>0.64</v>
      </c>
      <c r="F107" s="11">
        <v>0</v>
      </c>
      <c r="G107" s="13">
        <v>0</v>
      </c>
      <c r="H107" t="s">
        <v>439</v>
      </c>
      <c r="I107" t="s">
        <v>442</v>
      </c>
    </row>
    <row r="108" spans="1:9" ht="16.5" hidden="1" x14ac:dyDescent="0.5">
      <c r="A108" t="s">
        <v>434</v>
      </c>
      <c r="B108">
        <v>450</v>
      </c>
      <c r="C108" s="11">
        <v>900</v>
      </c>
      <c r="D108">
        <v>450</v>
      </c>
      <c r="E108">
        <v>0.5</v>
      </c>
      <c r="F108" s="11">
        <v>1</v>
      </c>
      <c r="G108" s="13">
        <v>2</v>
      </c>
      <c r="H108" t="s">
        <v>439</v>
      </c>
      <c r="I108" t="s">
        <v>442</v>
      </c>
    </row>
    <row r="109" spans="1:9" ht="16.5" hidden="1" x14ac:dyDescent="0.5">
      <c r="A109" t="s">
        <v>320</v>
      </c>
      <c r="B109">
        <v>169</v>
      </c>
      <c r="C109" s="11">
        <v>320</v>
      </c>
      <c r="D109">
        <v>151</v>
      </c>
      <c r="E109">
        <v>0.47</v>
      </c>
      <c r="F109" s="11">
        <v>0</v>
      </c>
      <c r="G109" s="13">
        <v>0</v>
      </c>
      <c r="H109" t="s">
        <v>439</v>
      </c>
      <c r="I109" t="s">
        <v>442</v>
      </c>
    </row>
  </sheetData>
  <phoneticPr fontId="2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3341-C71F-415E-9EDA-1F43B1AED698}">
  <dimension ref="A2:B12"/>
  <sheetViews>
    <sheetView workbookViewId="0">
      <selection activeCell="G7" sqref="G7"/>
    </sheetView>
  </sheetViews>
  <sheetFormatPr defaultRowHeight="16.5" x14ac:dyDescent="0.5"/>
  <cols>
    <col min="1" max="1" width="12.54296875" customWidth="1"/>
    <col min="2" max="2" width="9.36328125" customWidth="1"/>
  </cols>
  <sheetData>
    <row r="2" spans="1:2" x14ac:dyDescent="0.5">
      <c r="A2" t="s">
        <v>476</v>
      </c>
    </row>
    <row r="3" spans="1:2" ht="21" x14ac:dyDescent="0.6">
      <c r="A3" s="22">
        <v>108</v>
      </c>
      <c r="B3" s="20">
        <f>GETPIVOTDATA("Product",$A$2)</f>
        <v>108</v>
      </c>
    </row>
    <row r="5" spans="1:2" x14ac:dyDescent="0.5">
      <c r="A5" t="s">
        <v>451</v>
      </c>
    </row>
    <row r="6" spans="1:2" ht="21" x14ac:dyDescent="0.6">
      <c r="A6" s="13">
        <v>2.0111111111111106</v>
      </c>
      <c r="B6" s="21">
        <f>GETPIVOTDATA("Rating",$A$5)</f>
        <v>2.0111111111111106</v>
      </c>
    </row>
    <row r="8" spans="1:2" x14ac:dyDescent="0.5">
      <c r="A8" t="s">
        <v>449</v>
      </c>
    </row>
    <row r="9" spans="1:2" ht="21" x14ac:dyDescent="0.6">
      <c r="A9" s="22">
        <v>0.36370370370370358</v>
      </c>
      <c r="B9" s="21">
        <f>GETPIVOTDATA("%Discount",$A$8)</f>
        <v>0.36370370370370358</v>
      </c>
    </row>
    <row r="11" spans="1:2" x14ac:dyDescent="0.5">
      <c r="A11" t="s">
        <v>477</v>
      </c>
    </row>
    <row r="12" spans="1:2" ht="21" x14ac:dyDescent="0.6">
      <c r="A12" s="11">
        <v>721</v>
      </c>
      <c r="B12" s="20">
        <f>GETPIVOTDATA("Review",$A$11)</f>
        <v>721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629A-EDA4-4460-ACD3-10DAE757AF1D}">
  <dimension ref="A1"/>
  <sheetViews>
    <sheetView showGridLines="0" zoomScale="80" zoomScaleNormal="80" workbookViewId="0">
      <selection activeCell="V11" sqref="V11"/>
    </sheetView>
  </sheetViews>
  <sheetFormatPr defaultRowHeight="16.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0EE8-A1E0-4807-B157-0EC488B25CED}">
  <dimension ref="A2:A111"/>
  <sheetViews>
    <sheetView workbookViewId="0">
      <selection activeCell="A12" sqref="A12"/>
    </sheetView>
  </sheetViews>
  <sheetFormatPr defaultRowHeight="16.5" x14ac:dyDescent="0.5"/>
  <cols>
    <col min="1" max="1" width="85.81640625" customWidth="1"/>
  </cols>
  <sheetData>
    <row r="2" spans="1:1" x14ac:dyDescent="0.5">
      <c r="A2" s="14" t="s">
        <v>445</v>
      </c>
    </row>
    <row r="3" spans="1:1" x14ac:dyDescent="0.5">
      <c r="A3" s="15" t="s">
        <v>44</v>
      </c>
    </row>
    <row r="4" spans="1:1" x14ac:dyDescent="0.5">
      <c r="A4" s="15" t="s">
        <v>6</v>
      </c>
    </row>
    <row r="5" spans="1:1" x14ac:dyDescent="0.5">
      <c r="A5" s="15" t="s">
        <v>95</v>
      </c>
    </row>
    <row r="6" spans="1:1" x14ac:dyDescent="0.5">
      <c r="A6" s="15" t="s">
        <v>105</v>
      </c>
    </row>
    <row r="7" spans="1:1" x14ac:dyDescent="0.5">
      <c r="A7" s="15" t="s">
        <v>194</v>
      </c>
    </row>
    <row r="8" spans="1:1" x14ac:dyDescent="0.5">
      <c r="A8" s="15" t="s">
        <v>408</v>
      </c>
    </row>
    <row r="9" spans="1:1" x14ac:dyDescent="0.5">
      <c r="A9" s="15" t="s">
        <v>38</v>
      </c>
    </row>
    <row r="10" spans="1:1" x14ac:dyDescent="0.5">
      <c r="A10" s="15" t="s">
        <v>30</v>
      </c>
    </row>
    <row r="11" spans="1:1" x14ac:dyDescent="0.5">
      <c r="A11" s="15" t="s">
        <v>431</v>
      </c>
    </row>
    <row r="12" spans="1:1" x14ac:dyDescent="0.5">
      <c r="A12" s="15" t="s">
        <v>424</v>
      </c>
    </row>
    <row r="13" spans="1:1" x14ac:dyDescent="0.5">
      <c r="A13" s="15" t="s">
        <v>26</v>
      </c>
    </row>
    <row r="14" spans="1:1" x14ac:dyDescent="0.5">
      <c r="A14" s="15" t="s">
        <v>430</v>
      </c>
    </row>
    <row r="15" spans="1:1" x14ac:dyDescent="0.5">
      <c r="A15" s="15" t="s">
        <v>426</v>
      </c>
    </row>
    <row r="16" spans="1:1" x14ac:dyDescent="0.5">
      <c r="A16" s="15" t="s">
        <v>406</v>
      </c>
    </row>
    <row r="17" spans="1:1" x14ac:dyDescent="0.5">
      <c r="A17" s="15" t="s">
        <v>419</v>
      </c>
    </row>
    <row r="18" spans="1:1" x14ac:dyDescent="0.5">
      <c r="A18" s="15" t="s">
        <v>415</v>
      </c>
    </row>
    <row r="19" spans="1:1" x14ac:dyDescent="0.5">
      <c r="A19" s="15" t="s">
        <v>414</v>
      </c>
    </row>
    <row r="20" spans="1:1" x14ac:dyDescent="0.5">
      <c r="A20" s="15" t="s">
        <v>394</v>
      </c>
    </row>
    <row r="21" spans="1:1" x14ac:dyDescent="0.5">
      <c r="A21" s="15" t="s">
        <v>420</v>
      </c>
    </row>
    <row r="22" spans="1:1" x14ac:dyDescent="0.5">
      <c r="A22" s="15" t="s">
        <v>395</v>
      </c>
    </row>
    <row r="23" spans="1:1" x14ac:dyDescent="0.5">
      <c r="A23" s="15" t="s">
        <v>284</v>
      </c>
    </row>
    <row r="24" spans="1:1" x14ac:dyDescent="0.5">
      <c r="A24" s="15" t="s">
        <v>390</v>
      </c>
    </row>
    <row r="25" spans="1:1" x14ac:dyDescent="0.5">
      <c r="A25" s="15" t="s">
        <v>131</v>
      </c>
    </row>
    <row r="26" spans="1:1" x14ac:dyDescent="0.5">
      <c r="A26" s="15" t="s">
        <v>396</v>
      </c>
    </row>
    <row r="27" spans="1:1" x14ac:dyDescent="0.5">
      <c r="A27" s="15" t="s">
        <v>409</v>
      </c>
    </row>
    <row r="28" spans="1:1" x14ac:dyDescent="0.5">
      <c r="A28" s="15" t="s">
        <v>97</v>
      </c>
    </row>
    <row r="29" spans="1:1" x14ac:dyDescent="0.5">
      <c r="A29" s="15" t="s">
        <v>114</v>
      </c>
    </row>
    <row r="30" spans="1:1" x14ac:dyDescent="0.5">
      <c r="A30" s="15" t="s">
        <v>111</v>
      </c>
    </row>
    <row r="31" spans="1:1" x14ac:dyDescent="0.5">
      <c r="A31" s="15" t="s">
        <v>423</v>
      </c>
    </row>
    <row r="32" spans="1:1" x14ac:dyDescent="0.5">
      <c r="A32" s="15" t="s">
        <v>411</v>
      </c>
    </row>
    <row r="33" spans="1:1" x14ac:dyDescent="0.5">
      <c r="A33" s="15" t="s">
        <v>316</v>
      </c>
    </row>
    <row r="34" spans="1:1" x14ac:dyDescent="0.5">
      <c r="A34" s="15" t="s">
        <v>277</v>
      </c>
    </row>
    <row r="35" spans="1:1" x14ac:dyDescent="0.5">
      <c r="A35" s="15" t="s">
        <v>145</v>
      </c>
    </row>
    <row r="36" spans="1:1" x14ac:dyDescent="0.5">
      <c r="A36" s="15" t="s">
        <v>421</v>
      </c>
    </row>
    <row r="37" spans="1:1" x14ac:dyDescent="0.5">
      <c r="A37" s="15" t="s">
        <v>417</v>
      </c>
    </row>
    <row r="38" spans="1:1" x14ac:dyDescent="0.5">
      <c r="A38" s="15" t="s">
        <v>427</v>
      </c>
    </row>
    <row r="39" spans="1:1" x14ac:dyDescent="0.5">
      <c r="A39" s="15" t="s">
        <v>429</v>
      </c>
    </row>
    <row r="40" spans="1:1" x14ac:dyDescent="0.5">
      <c r="A40" s="15" t="s">
        <v>215</v>
      </c>
    </row>
    <row r="41" spans="1:1" x14ac:dyDescent="0.5">
      <c r="A41" s="15" t="s">
        <v>175</v>
      </c>
    </row>
    <row r="42" spans="1:1" x14ac:dyDescent="0.5">
      <c r="A42" s="15" t="s">
        <v>56</v>
      </c>
    </row>
    <row r="43" spans="1:1" x14ac:dyDescent="0.5">
      <c r="A43" s="15" t="s">
        <v>206</v>
      </c>
    </row>
    <row r="44" spans="1:1" x14ac:dyDescent="0.5">
      <c r="A44" s="15" t="s">
        <v>289</v>
      </c>
    </row>
    <row r="45" spans="1:1" x14ac:dyDescent="0.5">
      <c r="A45" s="15" t="s">
        <v>405</v>
      </c>
    </row>
    <row r="46" spans="1:1" x14ac:dyDescent="0.5">
      <c r="A46" s="15" t="s">
        <v>245</v>
      </c>
    </row>
    <row r="47" spans="1:1" x14ac:dyDescent="0.5">
      <c r="A47" s="15" t="s">
        <v>320</v>
      </c>
    </row>
    <row r="48" spans="1:1" x14ac:dyDescent="0.5">
      <c r="A48" s="15" t="s">
        <v>157</v>
      </c>
    </row>
    <row r="49" spans="1:1" x14ac:dyDescent="0.5">
      <c r="A49" s="15" t="s">
        <v>148</v>
      </c>
    </row>
    <row r="50" spans="1:1" x14ac:dyDescent="0.5">
      <c r="A50" s="15" t="s">
        <v>258</v>
      </c>
    </row>
    <row r="51" spans="1:1" x14ac:dyDescent="0.5">
      <c r="A51" s="15" t="s">
        <v>433</v>
      </c>
    </row>
    <row r="52" spans="1:1" x14ac:dyDescent="0.5">
      <c r="A52" s="15" t="s">
        <v>143</v>
      </c>
    </row>
    <row r="53" spans="1:1" x14ac:dyDescent="0.5">
      <c r="A53" s="15" t="s">
        <v>173</v>
      </c>
    </row>
    <row r="54" spans="1:1" x14ac:dyDescent="0.5">
      <c r="A54" s="15" t="s">
        <v>120</v>
      </c>
    </row>
    <row r="55" spans="1:1" x14ac:dyDescent="0.5">
      <c r="A55" s="15" t="s">
        <v>154</v>
      </c>
    </row>
    <row r="56" spans="1:1" x14ac:dyDescent="0.5">
      <c r="A56" s="15" t="s">
        <v>237</v>
      </c>
    </row>
    <row r="57" spans="1:1" x14ac:dyDescent="0.5">
      <c r="A57" s="15" t="s">
        <v>168</v>
      </c>
    </row>
    <row r="58" spans="1:1" x14ac:dyDescent="0.5">
      <c r="A58" s="15" t="s">
        <v>33</v>
      </c>
    </row>
    <row r="59" spans="1:1" x14ac:dyDescent="0.5">
      <c r="A59" s="15" t="s">
        <v>401</v>
      </c>
    </row>
    <row r="60" spans="1:1" x14ac:dyDescent="0.5">
      <c r="A60" s="15" t="s">
        <v>418</v>
      </c>
    </row>
    <row r="61" spans="1:1" x14ac:dyDescent="0.5">
      <c r="A61" s="15" t="s">
        <v>89</v>
      </c>
    </row>
    <row r="62" spans="1:1" x14ac:dyDescent="0.5">
      <c r="A62" s="15" t="s">
        <v>102</v>
      </c>
    </row>
    <row r="63" spans="1:1" x14ac:dyDescent="0.5">
      <c r="A63" s="15" t="s">
        <v>81</v>
      </c>
    </row>
    <row r="64" spans="1:1" x14ac:dyDescent="0.5">
      <c r="A64" s="15" t="s">
        <v>389</v>
      </c>
    </row>
    <row r="65" spans="1:1" x14ac:dyDescent="0.5">
      <c r="A65" s="15" t="s">
        <v>253</v>
      </c>
    </row>
    <row r="66" spans="1:1" x14ac:dyDescent="0.5">
      <c r="A66" s="15" t="s">
        <v>412</v>
      </c>
    </row>
    <row r="67" spans="1:1" x14ac:dyDescent="0.5">
      <c r="A67" s="15" t="s">
        <v>428</v>
      </c>
    </row>
    <row r="68" spans="1:1" x14ac:dyDescent="0.5">
      <c r="A68" s="15" t="s">
        <v>416</v>
      </c>
    </row>
    <row r="69" spans="1:1" x14ac:dyDescent="0.5">
      <c r="A69" s="15" t="s">
        <v>398</v>
      </c>
    </row>
    <row r="70" spans="1:1" x14ac:dyDescent="0.5">
      <c r="A70" s="15" t="s">
        <v>392</v>
      </c>
    </row>
    <row r="71" spans="1:1" x14ac:dyDescent="0.5">
      <c r="A71" s="15" t="s">
        <v>391</v>
      </c>
    </row>
    <row r="72" spans="1:1" x14ac:dyDescent="0.5">
      <c r="A72" s="15" t="s">
        <v>388</v>
      </c>
    </row>
    <row r="73" spans="1:1" x14ac:dyDescent="0.5">
      <c r="A73" s="15" t="s">
        <v>403</v>
      </c>
    </row>
    <row r="74" spans="1:1" x14ac:dyDescent="0.5">
      <c r="A74" s="15" t="s">
        <v>400</v>
      </c>
    </row>
    <row r="75" spans="1:1" x14ac:dyDescent="0.5">
      <c r="A75" s="15" t="s">
        <v>397</v>
      </c>
    </row>
    <row r="76" spans="1:1" x14ac:dyDescent="0.5">
      <c r="A76" s="15" t="s">
        <v>432</v>
      </c>
    </row>
    <row r="77" spans="1:1" x14ac:dyDescent="0.5">
      <c r="A77" s="15" t="s">
        <v>393</v>
      </c>
    </row>
    <row r="78" spans="1:1" x14ac:dyDescent="0.5">
      <c r="A78" s="15" t="s">
        <v>422</v>
      </c>
    </row>
    <row r="79" spans="1:1" x14ac:dyDescent="0.5">
      <c r="A79" s="15" t="s">
        <v>10</v>
      </c>
    </row>
    <row r="80" spans="1:1" x14ac:dyDescent="0.5">
      <c r="A80" s="15" t="s">
        <v>287</v>
      </c>
    </row>
    <row r="81" spans="1:1" x14ac:dyDescent="0.5">
      <c r="A81" s="15" t="s">
        <v>404</v>
      </c>
    </row>
    <row r="82" spans="1:1" x14ac:dyDescent="0.5">
      <c r="A82" s="15" t="s">
        <v>53</v>
      </c>
    </row>
    <row r="83" spans="1:1" x14ac:dyDescent="0.5">
      <c r="A83" s="15" t="s">
        <v>266</v>
      </c>
    </row>
    <row r="84" spans="1:1" x14ac:dyDescent="0.5">
      <c r="A84" s="15" t="s">
        <v>399</v>
      </c>
    </row>
    <row r="85" spans="1:1" x14ac:dyDescent="0.5">
      <c r="A85" s="15" t="s">
        <v>407</v>
      </c>
    </row>
    <row r="86" spans="1:1" x14ac:dyDescent="0.5">
      <c r="A86" s="15" t="s">
        <v>410</v>
      </c>
    </row>
    <row r="87" spans="1:1" x14ac:dyDescent="0.5">
      <c r="A87" s="15" t="s">
        <v>256</v>
      </c>
    </row>
    <row r="88" spans="1:1" x14ac:dyDescent="0.5">
      <c r="A88" s="15" t="s">
        <v>425</v>
      </c>
    </row>
    <row r="89" spans="1:1" x14ac:dyDescent="0.5">
      <c r="A89" s="15" t="s">
        <v>60</v>
      </c>
    </row>
    <row r="90" spans="1:1" x14ac:dyDescent="0.5">
      <c r="A90" s="15" t="s">
        <v>160</v>
      </c>
    </row>
    <row r="91" spans="1:1" x14ac:dyDescent="0.5">
      <c r="A91" s="15" t="s">
        <v>163</v>
      </c>
    </row>
    <row r="92" spans="1:1" x14ac:dyDescent="0.5">
      <c r="A92" s="15" t="s">
        <v>22</v>
      </c>
    </row>
    <row r="93" spans="1:1" x14ac:dyDescent="0.5">
      <c r="A93" s="15" t="s">
        <v>14</v>
      </c>
    </row>
    <row r="94" spans="1:1" x14ac:dyDescent="0.5">
      <c r="A94" s="15" t="s">
        <v>282</v>
      </c>
    </row>
    <row r="95" spans="1:1" x14ac:dyDescent="0.5">
      <c r="A95" s="15" t="s">
        <v>92</v>
      </c>
    </row>
    <row r="96" spans="1:1" x14ac:dyDescent="0.5">
      <c r="A96" s="15" t="s">
        <v>272</v>
      </c>
    </row>
    <row r="97" spans="1:1" x14ac:dyDescent="0.5">
      <c r="A97" s="15" t="s">
        <v>402</v>
      </c>
    </row>
    <row r="98" spans="1:1" x14ac:dyDescent="0.5">
      <c r="A98" s="15" t="s">
        <v>274</v>
      </c>
    </row>
    <row r="99" spans="1:1" x14ac:dyDescent="0.5">
      <c r="A99" s="15" t="s">
        <v>140</v>
      </c>
    </row>
    <row r="100" spans="1:1" x14ac:dyDescent="0.5">
      <c r="A100" s="15" t="s">
        <v>312</v>
      </c>
    </row>
    <row r="101" spans="1:1" x14ac:dyDescent="0.5">
      <c r="A101" s="15" t="s">
        <v>170</v>
      </c>
    </row>
    <row r="102" spans="1:1" x14ac:dyDescent="0.5">
      <c r="A102" s="15" t="s">
        <v>314</v>
      </c>
    </row>
    <row r="103" spans="1:1" x14ac:dyDescent="0.5">
      <c r="A103" s="15" t="s">
        <v>413</v>
      </c>
    </row>
    <row r="104" spans="1:1" x14ac:dyDescent="0.5">
      <c r="A104" s="15" t="s">
        <v>269</v>
      </c>
    </row>
    <row r="105" spans="1:1" x14ac:dyDescent="0.5">
      <c r="A105" s="15" t="s">
        <v>280</v>
      </c>
    </row>
    <row r="106" spans="1:1" x14ac:dyDescent="0.5">
      <c r="A106" s="15" t="s">
        <v>434</v>
      </c>
    </row>
    <row r="107" spans="1:1" x14ac:dyDescent="0.5">
      <c r="A107" s="15" t="s">
        <v>264</v>
      </c>
    </row>
    <row r="108" spans="1:1" x14ac:dyDescent="0.5">
      <c r="A108" s="15" t="s">
        <v>221</v>
      </c>
    </row>
    <row r="109" spans="1:1" x14ac:dyDescent="0.5">
      <c r="A109" s="15" t="s">
        <v>387</v>
      </c>
    </row>
    <row r="110" spans="1:1" x14ac:dyDescent="0.5">
      <c r="A110" s="15" t="s">
        <v>224</v>
      </c>
    </row>
    <row r="111" spans="1:1" x14ac:dyDescent="0.5">
      <c r="A111" s="15" t="s">
        <v>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A4F8-068A-4377-8807-8EBB24583815}">
  <dimension ref="A1:B60"/>
  <sheetViews>
    <sheetView topLeftCell="A25" workbookViewId="0">
      <selection activeCell="F6" sqref="F6"/>
    </sheetView>
  </sheetViews>
  <sheetFormatPr defaultRowHeight="16.5" x14ac:dyDescent="0.5"/>
  <sheetData>
    <row r="1" spans="1:1" x14ac:dyDescent="0.5">
      <c r="A1" s="2" t="s">
        <v>323</v>
      </c>
    </row>
    <row r="2" spans="1:1" x14ac:dyDescent="0.5">
      <c r="A2" s="2" t="s">
        <v>324</v>
      </c>
    </row>
    <row r="3" spans="1:1" x14ac:dyDescent="0.5">
      <c r="A3" s="2" t="s">
        <v>325</v>
      </c>
    </row>
    <row r="4" spans="1:1" x14ac:dyDescent="0.5">
      <c r="A4" s="2" t="s">
        <v>326</v>
      </c>
    </row>
    <row r="5" spans="1:1" x14ac:dyDescent="0.5">
      <c r="A5" s="2" t="s">
        <v>327</v>
      </c>
    </row>
    <row r="6" spans="1:1" x14ac:dyDescent="0.5">
      <c r="A6" s="2" t="s">
        <v>328</v>
      </c>
    </row>
    <row r="7" spans="1:1" x14ac:dyDescent="0.5">
      <c r="A7" s="2" t="s">
        <v>329</v>
      </c>
    </row>
    <row r="8" spans="1:1" x14ac:dyDescent="0.5">
      <c r="A8" s="3" t="s">
        <v>330</v>
      </c>
    </row>
    <row r="9" spans="1:1" x14ac:dyDescent="0.5">
      <c r="A9" s="3" t="s">
        <v>331</v>
      </c>
    </row>
    <row r="10" spans="1:1" x14ac:dyDescent="0.5">
      <c r="A10" s="3" t="s">
        <v>332</v>
      </c>
    </row>
    <row r="11" spans="1:1" x14ac:dyDescent="0.5">
      <c r="A11" s="3" t="s">
        <v>333</v>
      </c>
    </row>
    <row r="12" spans="1:1" x14ac:dyDescent="0.5">
      <c r="A12" s="3" t="s">
        <v>334</v>
      </c>
    </row>
    <row r="13" spans="1:1" x14ac:dyDescent="0.5">
      <c r="A13" s="3" t="s">
        <v>335</v>
      </c>
    </row>
    <row r="14" spans="1:1" x14ac:dyDescent="0.5">
      <c r="A14" s="2" t="s">
        <v>336</v>
      </c>
    </row>
    <row r="15" spans="1:1" x14ac:dyDescent="0.5">
      <c r="A15" s="2" t="s">
        <v>337</v>
      </c>
    </row>
    <row r="16" spans="1:1" x14ac:dyDescent="0.5">
      <c r="A16" s="2" t="s">
        <v>338</v>
      </c>
    </row>
    <row r="17" spans="1:2" x14ac:dyDescent="0.5">
      <c r="A17" s="4" t="s">
        <v>339</v>
      </c>
    </row>
    <row r="18" spans="1:2" x14ac:dyDescent="0.5">
      <c r="A18" s="5" t="s">
        <v>340</v>
      </c>
      <c r="B18" s="6" t="s">
        <v>341</v>
      </c>
    </row>
    <row r="19" spans="1:2" x14ac:dyDescent="0.5">
      <c r="A19" s="5" t="s">
        <v>342</v>
      </c>
    </row>
    <row r="20" spans="1:2" x14ac:dyDescent="0.5">
      <c r="A20" s="5" t="s">
        <v>343</v>
      </c>
    </row>
    <row r="21" spans="1:2" x14ac:dyDescent="0.5">
      <c r="A21" s="6" t="s">
        <v>344</v>
      </c>
    </row>
    <row r="22" spans="1:2" x14ac:dyDescent="0.5">
      <c r="A22" s="4" t="s">
        <v>345</v>
      </c>
    </row>
    <row r="23" spans="1:2" x14ac:dyDescent="0.5">
      <c r="A23" s="5" t="s">
        <v>346</v>
      </c>
    </row>
    <row r="24" spans="1:2" x14ac:dyDescent="0.5">
      <c r="A24" s="6" t="s">
        <v>347</v>
      </c>
    </row>
    <row r="25" spans="1:2" x14ac:dyDescent="0.5">
      <c r="A25" s="5" t="s">
        <v>348</v>
      </c>
    </row>
    <row r="26" spans="1:2" x14ac:dyDescent="0.5">
      <c r="A26" s="5" t="s">
        <v>349</v>
      </c>
    </row>
    <row r="27" spans="1:2" x14ac:dyDescent="0.5">
      <c r="A27" s="2" t="s">
        <v>350</v>
      </c>
    </row>
    <row r="28" spans="1:2" x14ac:dyDescent="0.5">
      <c r="A28" s="4" t="s">
        <v>351</v>
      </c>
    </row>
    <row r="29" spans="1:2" x14ac:dyDescent="0.5">
      <c r="A29" s="5" t="s">
        <v>352</v>
      </c>
    </row>
    <row r="30" spans="1:2" x14ac:dyDescent="0.5">
      <c r="A30" s="5" t="s">
        <v>353</v>
      </c>
    </row>
    <row r="31" spans="1:2" x14ac:dyDescent="0.5">
      <c r="A31" s="5" t="s">
        <v>354</v>
      </c>
    </row>
    <row r="32" spans="1:2" x14ac:dyDescent="0.5">
      <c r="A32" s="4" t="s">
        <v>355</v>
      </c>
    </row>
    <row r="33" spans="1:2" x14ac:dyDescent="0.5">
      <c r="A33" s="5" t="s">
        <v>356</v>
      </c>
    </row>
    <row r="34" spans="1:2" x14ac:dyDescent="0.5">
      <c r="A34" s="5" t="s">
        <v>357</v>
      </c>
    </row>
    <row r="35" spans="1:2" x14ac:dyDescent="0.5">
      <c r="A35" s="5" t="s">
        <v>358</v>
      </c>
    </row>
    <row r="36" spans="1:2" x14ac:dyDescent="0.5">
      <c r="A36" s="4" t="s">
        <v>359</v>
      </c>
    </row>
    <row r="37" spans="1:2" x14ac:dyDescent="0.5">
      <c r="A37" s="5" t="s">
        <v>360</v>
      </c>
      <c r="B37" s="6" t="s">
        <v>361</v>
      </c>
    </row>
    <row r="38" spans="1:2" x14ac:dyDescent="0.5">
      <c r="A38" s="5" t="s">
        <v>362</v>
      </c>
    </row>
    <row r="39" spans="1:2" x14ac:dyDescent="0.5">
      <c r="A39" s="7" t="s">
        <v>363</v>
      </c>
    </row>
    <row r="40" spans="1:2" x14ac:dyDescent="0.5">
      <c r="A40" s="2" t="s">
        <v>364</v>
      </c>
    </row>
    <row r="41" spans="1:2" x14ac:dyDescent="0.5">
      <c r="A41" s="4" t="s">
        <v>365</v>
      </c>
    </row>
    <row r="42" spans="1:2" x14ac:dyDescent="0.5">
      <c r="A42" s="5" t="s">
        <v>366</v>
      </c>
      <c r="B42" s="6" t="s">
        <v>367</v>
      </c>
    </row>
    <row r="43" spans="1:2" x14ac:dyDescent="0.5">
      <c r="A43" s="6" t="s">
        <v>368</v>
      </c>
    </row>
    <row r="44" spans="1:2" x14ac:dyDescent="0.5">
      <c r="A44" s="5" t="s">
        <v>369</v>
      </c>
    </row>
    <row r="45" spans="1:2" x14ac:dyDescent="0.5">
      <c r="A45" s="8" t="s">
        <v>370</v>
      </c>
    </row>
    <row r="46" spans="1:2" x14ac:dyDescent="0.5">
      <c r="A46" s="8" t="s">
        <v>371</v>
      </c>
    </row>
    <row r="47" spans="1:2" x14ac:dyDescent="0.5">
      <c r="A47" s="8" t="s">
        <v>372</v>
      </c>
    </row>
    <row r="48" spans="1:2" x14ac:dyDescent="0.5">
      <c r="A48" s="8" t="s">
        <v>373</v>
      </c>
    </row>
    <row r="49" spans="1:1" x14ac:dyDescent="0.5">
      <c r="A49" s="4" t="s">
        <v>374</v>
      </c>
    </row>
    <row r="50" spans="1:1" x14ac:dyDescent="0.5">
      <c r="A50" s="5" t="s">
        <v>375</v>
      </c>
    </row>
    <row r="51" spans="1:1" x14ac:dyDescent="0.5">
      <c r="A51" s="5" t="s">
        <v>376</v>
      </c>
    </row>
    <row r="52" spans="1:1" x14ac:dyDescent="0.5">
      <c r="A52" s="5" t="s">
        <v>377</v>
      </c>
    </row>
    <row r="53" spans="1:1" x14ac:dyDescent="0.5">
      <c r="A53" s="2" t="s">
        <v>378</v>
      </c>
    </row>
    <row r="54" spans="1:1" x14ac:dyDescent="0.5">
      <c r="A54" s="3" t="s">
        <v>379</v>
      </c>
    </row>
    <row r="55" spans="1:1" x14ac:dyDescent="0.5">
      <c r="A55" s="3" t="s">
        <v>380</v>
      </c>
    </row>
    <row r="56" spans="1:1" x14ac:dyDescent="0.5">
      <c r="A56" s="3" t="s">
        <v>381</v>
      </c>
    </row>
    <row r="57" spans="1:1" x14ac:dyDescent="0.5">
      <c r="A57" s="3" t="s">
        <v>382</v>
      </c>
    </row>
    <row r="58" spans="1:1" x14ac:dyDescent="0.5">
      <c r="A58" s="2" t="s">
        <v>383</v>
      </c>
    </row>
    <row r="59" spans="1:1" x14ac:dyDescent="0.5">
      <c r="A59" s="3" t="s">
        <v>384</v>
      </c>
    </row>
    <row r="60" spans="1:1" x14ac:dyDescent="0.5">
      <c r="A60" s="3" t="s">
        <v>385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84E7C2-FD2D-45BD-9298-92AA40DD13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Week 1 Excel_jumia_dataset</vt:lpstr>
      <vt:lpstr>Data Analysis</vt:lpstr>
      <vt:lpstr>Trend Analysis</vt:lpstr>
      <vt:lpstr>Production Performance</vt:lpstr>
      <vt:lpstr>CleanedData</vt:lpstr>
      <vt:lpstr>Metrics</vt:lpstr>
      <vt:lpstr>Dashboard</vt:lpstr>
      <vt:lpstr>Slicers</vt:lpstr>
      <vt:lpstr>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Ruto Robert</cp:lastModifiedBy>
  <dcterms:created xsi:type="dcterms:W3CDTF">2026-06-08T13:07:22Z</dcterms:created>
  <dcterms:modified xsi:type="dcterms:W3CDTF">2026-06-09T09:35:45Z</dcterms:modified>
</cp:coreProperties>
</file>